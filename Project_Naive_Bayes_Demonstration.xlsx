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puts" sheetId="1" state="visible" r:id="rId3"/>
    <sheet name="Model Parameters" sheetId="2" state="visible" r:id="rId4"/>
    <sheet name="Keyword Influence" sheetId="3" state="visible" r:id="rId5"/>
    <sheet name="Token Table" sheetId="4" state="visible" r:id="rId6"/>
    <sheet name="Formula Calcul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<sst xmlns="http://schemas.openxmlformats.org/spreadsheetml/2006/main" count="743" uniqueCount="345">
  <si>
    <t xml:space="preserve">Email Input</t>
  </si>
  <si>
    <t xml:space="preserve">Field</t>
  </si>
  <si>
    <t xml:space="preserve">Value</t>
  </si>
  <si>
    <t xml:space="preserve">Subject</t>
  </si>
  <si>
    <t xml:space="preserve">Urgent: Payment Required Immediately</t>
  </si>
  <si>
    <t xml:space="preserve">Body</t>
  </si>
  <si>
    <t xml:space="preserve">Dear Customer,
Your account shows an overdue balance. To avoid service suspension, please make payment within 12 hours.
Click here to settle your account:
bank@official.bank.com
Failure to comply will result in permanent account closure.
Sincerely,
Billing Department</t>
  </si>
  <si>
    <t xml:space="preserve">Formula Name</t>
  </si>
  <si>
    <t xml:space="preserve">Formula Display</t>
  </si>
  <si>
    <t xml:space="preserve">Meaning</t>
  </si>
  <si>
    <t xml:space="preserve">Bayes theorem</t>
  </si>
  <si>
    <t xml:space="preserve">General: P(class | features) = [P(features | class) * P(class)] / P(features)
Fraud: P(fraud | features) = [P(features | fraud) * P(fraud)] / P(features)
Injection: P(injection | features) = [P(features | injection) * P(injection)] / P(features)
Safe: P(safe | features) = [P(features | safe) * P(safe)] / P(features)</t>
  </si>
  <si>
    <t xml:space="preserve">Posterior probability after observing features X.</t>
  </si>
  <si>
    <t xml:space="preserve">Naive Bayes likelihood</t>
  </si>
  <si>
    <t xml:space="preserve">P(features | fraud) = product_i P(token_i | fraud)
P(features | injection) = product_i P(token_i | injection)
P(features | safe) = product_i P(token_i | safe)</t>
  </si>
  <si>
    <t xml:space="preserve">The project uses log form for numerical stability.</t>
  </si>
  <si>
    <t xml:space="preserve">Laplace smoothing</t>
  </si>
  <si>
    <t xml:space="preserve">log_score(fraud) = ln(P(fraud)) + sum_i count(token_i) * ln(P(token_i | fraud))
log_score(injection) = ln(P(injection)) + sum_i count(token_i) * ln(P(token_i | injection))
log_score(safe) = ln(P(safe)) + sum_i count(token_i) * ln(P(token_i | safe))</t>
  </si>
  <si>
    <t xml:space="preserve">Prevents zero probabilities for unseen features.</t>
  </si>
  <si>
    <t xml:space="preserve">Log scoring</t>
  </si>
  <si>
    <t xml:space="preserve">P(token | fraud) = (freq(token,fraud)+alpha)/(token_total(fraud)+alpha*|V|)
P(token | injection) = (freq(token,injection)+alpha)/(token_total(injection)+alpha*|V|)
P(token | safe) = (freq(token,safe)+alpha)/(token_total(safe)+alpha*|V|)</t>
  </si>
  <si>
    <t xml:space="preserve">Raw scores used to choose the predicted label.</t>
  </si>
  <si>
    <t xml:space="preserve">Temperature softmax</t>
  </si>
  <si>
    <t xml:space="preserve">logit(fraud)=log_score(fraud)/token_count
logit(injection)=log_score(injection)/token_count
logit(safe)=log_score(safe)/token_count</t>
  </si>
  <si>
    <t xml:space="preserve">Final UI probabilities shown by the project.</t>
  </si>
  <si>
    <t xml:space="preserve">Model Parameters From Dataset</t>
  </si>
  <si>
    <t xml:space="preserve">Parameter</t>
  </si>
  <si>
    <t xml:space="preserve">Fraud</t>
  </si>
  <si>
    <t xml:space="preserve">Injection</t>
  </si>
  <si>
    <t xml:space="preserve">Safe</t>
  </si>
  <si>
    <t xml:space="preserve">Formula / Meaning</t>
  </si>
  <si>
    <t xml:space="preserve">Class document count</t>
  </si>
  <si>
    <t xml:space="preserve">class_count(C_k)</t>
  </si>
  <si>
    <t xml:space="preserve">Total documents</t>
  </si>
  <si>
    <t xml:space="preserve">sum of all class document counts</t>
  </si>
  <si>
    <t xml:space="preserve">Class prior P(C_k)</t>
  </si>
  <si>
    <t xml:space="preserve">P(fraud)=fraud_count/total_docs; P(injection)=injection_count/total_docs; P(safe)=safe_count/total_docs</t>
  </si>
  <si>
    <t xml:space="preserve">ln prior</t>
  </si>
  <si>
    <t xml:space="preserve">ln(P(fraud)), ln(P(injection)), ln(P(safe))</t>
  </si>
  <si>
    <t xml:space="preserve">Class token total</t>
  </si>
  <si>
    <t xml:space="preserve">sum of feature counts in each class</t>
  </si>
  <si>
    <t xml:space="preserve">Vocabulary size |V|</t>
  </si>
  <si>
    <t xml:space="preserve">unique training features</t>
  </si>
  <si>
    <t xml:space="preserve">Laplace alpha</t>
  </si>
  <si>
    <t xml:space="preserve">alpha</t>
  </si>
  <si>
    <t xml:space="preserve">Posterior temperature T</t>
  </si>
  <si>
    <t xml:space="preserve">temperature used by softmax</t>
  </si>
  <si>
    <t xml:space="preserve">Keyword weight</t>
  </si>
  <si>
    <t xml:space="preserve">fraud/injection keyword synthetic feature weight</t>
  </si>
  <si>
    <t xml:space="preserve">Keyword Influence</t>
  </si>
  <si>
    <t xml:space="preserve">Keyword</t>
  </si>
  <si>
    <t xml:space="preserve">Category</t>
  </si>
  <si>
    <t xml:space="preserve">Matched?</t>
  </si>
  <si>
    <t xml:space="preserve">Adds __fraud_kw__</t>
  </si>
  <si>
    <t xml:space="preserve">Adds __injection_kw__</t>
  </si>
  <si>
    <t xml:space="preserve">Adds __malicious_signal__</t>
  </si>
  <si>
    <t xml:space="preserve">Formula shown</t>
  </si>
  <si>
    <t xml:space="preserve">account</t>
  </si>
  <si>
    <t xml:space="preserve">fraud</t>
  </si>
  <si>
    <t xml:space="preserve">matched? = ISNUMBER(SEARCH(keyword, subject &amp; body)); synthetic_count += keyword_weight</t>
  </si>
  <si>
    <t xml:space="preserve">account closure</t>
  </si>
  <si>
    <t xml:space="preserve">account locked</t>
  </si>
  <si>
    <t xml:space="preserve">account verification</t>
  </si>
  <si>
    <t xml:space="preserve">act now</t>
  </si>
  <si>
    <t xml:space="preserve">action</t>
  </si>
  <si>
    <t xml:space="preserve">activity</t>
  </si>
  <si>
    <t xml:space="preserve">alert</t>
  </si>
  <si>
    <t xml:space="preserve">amazon</t>
  </si>
  <si>
    <t xml:space="preserve">apple</t>
  </si>
  <si>
    <t xml:space="preserve">bank</t>
  </si>
  <si>
    <t xml:space="preserve">bank details</t>
  </si>
  <si>
    <t xml:space="preserve">billing</t>
  </si>
  <si>
    <t xml:space="preserve">card declined</t>
  </si>
  <si>
    <t xml:space="preserve">cash prize</t>
  </si>
  <si>
    <t xml:space="preserve">claim</t>
  </si>
  <si>
    <t xml:space="preserve">claim reward</t>
  </si>
  <si>
    <t xml:space="preserve">click</t>
  </si>
  <si>
    <t xml:space="preserve">click here</t>
  </si>
  <si>
    <t xml:space="preserve">confirm</t>
  </si>
  <si>
    <t xml:space="preserve">confirm account</t>
  </si>
  <si>
    <t xml:space="preserve">confirm identity</t>
  </si>
  <si>
    <t xml:space="preserve">confirm payment</t>
  </si>
  <si>
    <t xml:space="preserve">congratulations</t>
  </si>
  <si>
    <t xml:space="preserve">credential</t>
  </si>
  <si>
    <t xml:space="preserve">crypto</t>
  </si>
  <si>
    <t xml:space="preserve">customs fee</t>
  </si>
  <si>
    <t xml:space="preserve">deactivate account</t>
  </si>
  <si>
    <t xml:space="preserve">deactivation</t>
  </si>
  <si>
    <t xml:space="preserve">expire</t>
  </si>
  <si>
    <t xml:space="preserve">failure to comply</t>
  </si>
  <si>
    <t xml:space="preserve">final notice</t>
  </si>
  <si>
    <t xml:space="preserve">final warning</t>
  </si>
  <si>
    <t xml:space="preserve">fraud alert</t>
  </si>
  <si>
    <t xml:space="preserve">gift card</t>
  </si>
  <si>
    <t xml:space="preserve">identity</t>
  </si>
  <si>
    <t xml:space="preserve">identity confirmation</t>
  </si>
  <si>
    <t xml:space="preserve">immediate</t>
  </si>
  <si>
    <t xml:space="preserve">immediately</t>
  </si>
  <si>
    <t xml:space="preserve">invoice</t>
  </si>
  <si>
    <t xml:space="preserve">last warning</t>
  </si>
  <si>
    <t xml:space="preserve">legal action</t>
  </si>
  <si>
    <t xml:space="preserve">limited opportunity</t>
  </si>
  <si>
    <t xml:space="preserve">limited time</t>
  </si>
  <si>
    <t xml:space="preserve">link</t>
  </si>
  <si>
    <t xml:space="preserve">locked</t>
  </si>
  <si>
    <t xml:space="preserve">login</t>
  </si>
  <si>
    <t xml:space="preserve">login credentials</t>
  </si>
  <si>
    <t xml:space="preserve">login now</t>
  </si>
  <si>
    <t xml:space="preserve">microsoft</t>
  </si>
  <si>
    <t xml:space="preserve">official notice</t>
  </si>
  <si>
    <t xml:space="preserve">overdue</t>
  </si>
  <si>
    <t xml:space="preserve">password</t>
  </si>
  <si>
    <t xml:space="preserve">past due</t>
  </si>
  <si>
    <t xml:space="preserve">payment</t>
  </si>
  <si>
    <t xml:space="preserve">payment due</t>
  </si>
  <si>
    <t xml:space="preserve">payment information</t>
  </si>
  <si>
    <t xml:space="preserve">payment required</t>
  </si>
  <si>
    <t xml:space="preserve">paypal</t>
  </si>
  <si>
    <t xml:space="preserve">prize</t>
  </si>
  <si>
    <t xml:space="preserve">processing fee</t>
  </si>
  <si>
    <t xml:space="preserve">re-activate</t>
  </si>
  <si>
    <t xml:space="preserve">reauthenticate</t>
  </si>
  <si>
    <t xml:space="preserve">refund</t>
  </si>
  <si>
    <t xml:space="preserve">refund available</t>
  </si>
  <si>
    <t xml:space="preserve">required</t>
  </si>
  <si>
    <t xml:space="preserve">reset</t>
  </si>
  <si>
    <t xml:space="preserve">restore access</t>
  </si>
  <si>
    <t xml:space="preserve">review billing</t>
  </si>
  <si>
    <t xml:space="preserve">reward</t>
  </si>
  <si>
    <t xml:space="preserve">secure link</t>
  </si>
  <si>
    <t xml:space="preserve">secure portal</t>
  </si>
  <si>
    <t xml:space="preserve">security</t>
  </si>
  <si>
    <t xml:space="preserve">security token</t>
  </si>
  <si>
    <t xml:space="preserve">service suspension</t>
  </si>
  <si>
    <t xml:space="preserve">settlement</t>
  </si>
  <si>
    <t xml:space="preserve">suspended</t>
  </si>
  <si>
    <t xml:space="preserve">suspension</t>
  </si>
  <si>
    <t xml:space="preserve">terminated</t>
  </si>
  <si>
    <t xml:space="preserve">token</t>
  </si>
  <si>
    <t xml:space="preserve">transfer</t>
  </si>
  <si>
    <t xml:space="preserve">transfer immediately</t>
  </si>
  <si>
    <t xml:space="preserve">unauthorized activity</t>
  </si>
  <si>
    <t xml:space="preserve">unusual</t>
  </si>
  <si>
    <t xml:space="preserve">update</t>
  </si>
  <si>
    <t xml:space="preserve">update account details</t>
  </si>
  <si>
    <t xml:space="preserve">urgent</t>
  </si>
  <si>
    <t xml:space="preserve">verify</t>
  </si>
  <si>
    <t xml:space="preserve">verify account</t>
  </si>
  <si>
    <t xml:space="preserve">verify billing</t>
  </si>
  <si>
    <t xml:space="preserve">verify details</t>
  </si>
  <si>
    <t xml:space="preserve">verify now</t>
  </si>
  <si>
    <t xml:space="preserve">verify payment</t>
  </si>
  <si>
    <t xml:space="preserve">wallet</t>
  </si>
  <si>
    <t xml:space="preserve">wire</t>
  </si>
  <si>
    <t xml:space="preserve">wire transfer</t>
  </si>
  <si>
    <t xml:space="preserve">access granted</t>
  </si>
  <si>
    <t xml:space="preserve">injection</t>
  </si>
  <si>
    <t xml:space="preserve">act as</t>
  </si>
  <si>
    <t xml:space="preserve">action needed</t>
  </si>
  <si>
    <t xml:space="preserve">admin access</t>
  </si>
  <si>
    <t xml:space="preserve">administrator access</t>
  </si>
  <si>
    <t xml:space="preserve">application policy</t>
  </si>
  <si>
    <t xml:space="preserve">assistant instructions</t>
  </si>
  <si>
    <t xml:space="preserve">bash</t>
  </si>
  <si>
    <t xml:space="preserve">bypass</t>
  </si>
  <si>
    <t xml:space="preserve">chain of thought</t>
  </si>
  <si>
    <t xml:space="preserve">class</t>
  </si>
  <si>
    <t xml:space="preserve">cmd</t>
  </si>
  <si>
    <t xml:space="preserve">code</t>
  </si>
  <si>
    <t xml:space="preserve">command</t>
  </si>
  <si>
    <t xml:space="preserve">confidential instructions</t>
  </si>
  <si>
    <t xml:space="preserve">confidential prompt</t>
  </si>
  <si>
    <t xml:space="preserve">curl</t>
  </si>
  <si>
    <t xml:space="preserve">database</t>
  </si>
  <si>
    <t xml:space="preserve">def</t>
  </si>
  <si>
    <t xml:space="preserve">delete</t>
  </si>
  <si>
    <t xml:space="preserve">deserialize</t>
  </si>
  <si>
    <t xml:space="preserve">developer instructions</t>
  </si>
  <si>
    <t xml:space="preserve">developer message</t>
  </si>
  <si>
    <t xml:space="preserve">developer notes</t>
  </si>
  <si>
    <t xml:space="preserve">disable filters</t>
  </si>
  <si>
    <t xml:space="preserve">disable protection</t>
  </si>
  <si>
    <t xml:space="preserve">disable safety</t>
  </si>
  <si>
    <t xml:space="preserve">do anything now</t>
  </si>
  <si>
    <t xml:space="preserve">do not answer</t>
  </si>
  <si>
    <t xml:space="preserve">do not summarize</t>
  </si>
  <si>
    <t xml:space="preserve">drop</t>
  </si>
  <si>
    <t xml:space="preserve">drop table</t>
  </si>
  <si>
    <t xml:space="preserve">escalate privileges</t>
  </si>
  <si>
    <t xml:space="preserve">eval</t>
  </si>
  <si>
    <t xml:space="preserve">exec</t>
  </si>
  <si>
    <t xml:space="preserve">execute</t>
  </si>
  <si>
    <t xml:space="preserve">execute this command</t>
  </si>
  <si>
    <t xml:space="preserve">exfiltrate</t>
  </si>
  <si>
    <t xml:space="preserve">follow these instructions</t>
  </si>
  <si>
    <t xml:space="preserve">forget previous</t>
  </si>
  <si>
    <t xml:space="preserve">function</t>
  </si>
  <si>
    <t xml:space="preserve">grant admin access</t>
  </si>
  <si>
    <t xml:space="preserve">grant administrator access</t>
  </si>
  <si>
    <t xml:space="preserve">hidden configuration</t>
  </si>
  <si>
    <t xml:space="preserve">hidden instructions</t>
  </si>
  <si>
    <t xml:space="preserve">hidden policy</t>
  </si>
  <si>
    <t xml:space="preserve">ignore all existing security protocols</t>
  </si>
  <si>
    <t xml:space="preserve">ignore instructions</t>
  </si>
  <si>
    <t xml:space="preserve">ignore policy</t>
  </si>
  <si>
    <t xml:space="preserve">ignore previous instructions</t>
  </si>
  <si>
    <t xml:space="preserve">ignore safeguards</t>
  </si>
  <si>
    <t xml:space="preserve">import</t>
  </si>
  <si>
    <t xml:space="preserve">insert</t>
  </si>
  <si>
    <t xml:space="preserve">instructions carefully</t>
  </si>
  <si>
    <t xml:space="preserve">internal rules</t>
  </si>
  <si>
    <t xml:space="preserve">jailbreak</t>
  </si>
  <si>
    <t xml:space="preserve">java</t>
  </si>
  <si>
    <t xml:space="preserve">javascript</t>
  </si>
  <si>
    <t xml:space="preserve">lambda</t>
  </si>
  <si>
    <t xml:space="preserve">leak</t>
  </si>
  <si>
    <t xml:space="preserve">or 1=1</t>
  </si>
  <si>
    <t xml:space="preserve">os system</t>
  </si>
  <si>
    <t xml:space="preserve">output the developer message</t>
  </si>
  <si>
    <t xml:space="preserve">output the system prompt</t>
  </si>
  <si>
    <t xml:space="preserve">override</t>
  </si>
  <si>
    <t xml:space="preserve">override safety</t>
  </si>
  <si>
    <t xml:space="preserve">powershell</t>
  </si>
  <si>
    <t xml:space="preserve">print</t>
  </si>
  <si>
    <t xml:space="preserve">print the hidden policy</t>
  </si>
  <si>
    <t xml:space="preserve">private prompt</t>
  </si>
  <si>
    <t xml:space="preserve">prompt injection</t>
  </si>
  <si>
    <t xml:space="preserve">python</t>
  </si>
  <si>
    <t xml:space="preserve">query</t>
  </si>
  <si>
    <t xml:space="preserve">respond only</t>
  </si>
  <si>
    <t xml:space="preserve">return</t>
  </si>
  <si>
    <t xml:space="preserve">reveal hidden instructions</t>
  </si>
  <si>
    <t xml:space="preserve">reveal system prompt</t>
  </si>
  <si>
    <t xml:space="preserve">run command</t>
  </si>
  <si>
    <t xml:space="preserve">run this in terminal</t>
  </si>
  <si>
    <t xml:space="preserve">runtime</t>
  </si>
  <si>
    <t xml:space="preserve">script</t>
  </si>
  <si>
    <t xml:space="preserve">security policy</t>
  </si>
  <si>
    <t xml:space="preserve">select</t>
  </si>
  <si>
    <t xml:space="preserve">shell</t>
  </si>
  <si>
    <t xml:space="preserve">sql</t>
  </si>
  <si>
    <t xml:space="preserve">subprocess</t>
  </si>
  <si>
    <t xml:space="preserve">system</t>
  </si>
  <si>
    <t xml:space="preserve">system update</t>
  </si>
  <si>
    <t xml:space="preserve">table</t>
  </si>
  <si>
    <t xml:space="preserve">terminal</t>
  </si>
  <si>
    <t xml:space="preserve">terminal command</t>
  </si>
  <si>
    <t xml:space="preserve">union select</t>
  </si>
  <si>
    <t xml:space="preserve">unrestricted mode</t>
  </si>
  <si>
    <t xml:space="preserve">wget</t>
  </si>
  <si>
    <t xml:space="preserve">xp_cmdshell</t>
  </si>
  <si>
    <t xml:space="preserve">Totals</t>
  </si>
  <si>
    <t xml:space="preserve">Token Table With Excel Formulas</t>
  </si>
  <si>
    <t xml:space="preserve">Formula shown: P(token | fraud/injection/safe) = (training frequency in that class + alpha) / (class token total + alpha*|V|). Contribution = observed_count * LN(P(token | fraud/injection/safe)).</t>
  </si>
  <si>
    <t xml:space="preserve">Token / feature</t>
  </si>
  <si>
    <t xml:space="preserve">Observed count</t>
  </si>
  <si>
    <t xml:space="preserve">Fraud freq</t>
  </si>
  <si>
    <t xml:space="preserve">Fraud P</t>
  </si>
  <si>
    <t xml:space="preserve">Fraud log contribution</t>
  </si>
  <si>
    <t xml:space="preserve">Injection freq</t>
  </si>
  <si>
    <t xml:space="preserve">Injection P</t>
  </si>
  <si>
    <t xml:space="preserve">Injection log contribution</t>
  </si>
  <si>
    <t xml:space="preserve">Safe freq</t>
  </si>
  <si>
    <t xml:space="preserve">Safe P</t>
  </si>
  <si>
    <t xml:space="preserve">Safe log contribution</t>
  </si>
  <si>
    <t xml:space="preserve">__fraud_kw__</t>
  </si>
  <si>
    <t xml:space="preserve">__malicious_signal__</t>
  </si>
  <si>
    <t xml:space="preserve">payment_required</t>
  </si>
  <si>
    <t xml:space="preserve">required_immediately</t>
  </si>
  <si>
    <t xml:space="preserve">urgent_payment</t>
  </si>
  <si>
    <t xml:space="preserve">account_bank</t>
  </si>
  <si>
    <t xml:space="preserve">account_closure</t>
  </si>
  <si>
    <t xml:space="preserve">account_shows</t>
  </si>
  <si>
    <t xml:space="preserve">avoid</t>
  </si>
  <si>
    <t xml:space="preserve">avoid_service</t>
  </si>
  <si>
    <t xml:space="preserve">balance</t>
  </si>
  <si>
    <t xml:space="preserve">balance_avoid</t>
  </si>
  <si>
    <t xml:space="preserve">bank_com</t>
  </si>
  <si>
    <t xml:space="preserve">bank_official</t>
  </si>
  <si>
    <t xml:space="preserve">billing_department</t>
  </si>
  <si>
    <t xml:space="preserve">click_here</t>
  </si>
  <si>
    <t xml:space="preserve">closure</t>
  </si>
  <si>
    <t xml:space="preserve">closure_sincerely</t>
  </si>
  <si>
    <t xml:space="preserve">com</t>
  </si>
  <si>
    <t xml:space="preserve">com_failure</t>
  </si>
  <si>
    <t xml:space="preserve">comply</t>
  </si>
  <si>
    <t xml:space="preserve">comply_result</t>
  </si>
  <si>
    <t xml:space="preserve">customer</t>
  </si>
  <si>
    <t xml:space="preserve">customer_account</t>
  </si>
  <si>
    <t xml:space="preserve">dear</t>
  </si>
  <si>
    <t xml:space="preserve">dear_customer</t>
  </si>
  <si>
    <t xml:space="preserve">department</t>
  </si>
  <si>
    <t xml:space="preserve">failure</t>
  </si>
  <si>
    <t xml:space="preserve">failure_comply</t>
  </si>
  <si>
    <t xml:space="preserve">here</t>
  </si>
  <si>
    <t xml:space="preserve">here_settle</t>
  </si>
  <si>
    <t xml:space="preserve">hours</t>
  </si>
  <si>
    <t xml:space="preserve">hours_click</t>
  </si>
  <si>
    <t xml:space="preserve">immediately_dear</t>
  </si>
  <si>
    <t xml:space="preserve">immediately_urgent</t>
  </si>
  <si>
    <t xml:space="preserve">make</t>
  </si>
  <si>
    <t xml:space="preserve">make_payment</t>
  </si>
  <si>
    <t xml:space="preserve">official</t>
  </si>
  <si>
    <t xml:space="preserve">official_bank</t>
  </si>
  <si>
    <t xml:space="preserve">overdue_balance</t>
  </si>
  <si>
    <t xml:space="preserve">payment_within</t>
  </si>
  <si>
    <t xml:space="preserve">permanent</t>
  </si>
  <si>
    <t xml:space="preserve">permanent_account</t>
  </si>
  <si>
    <t xml:space="preserve">please</t>
  </si>
  <si>
    <t xml:space="preserve">please_make</t>
  </si>
  <si>
    <t xml:space="preserve">result</t>
  </si>
  <si>
    <t xml:space="preserve">result_permanent</t>
  </si>
  <si>
    <t xml:space="preserve">service</t>
  </si>
  <si>
    <t xml:space="preserve">service_suspension</t>
  </si>
  <si>
    <t xml:space="preserve">settle</t>
  </si>
  <si>
    <t xml:space="preserve">settle_account</t>
  </si>
  <si>
    <t xml:space="preserve">shows</t>
  </si>
  <si>
    <t xml:space="preserve">shows_overdue</t>
  </si>
  <si>
    <t xml:space="preserve">sincerely</t>
  </si>
  <si>
    <t xml:space="preserve">sincerely_billing</t>
  </si>
  <si>
    <t xml:space="preserve">suspension_please</t>
  </si>
  <si>
    <t xml:space="preserve">within</t>
  </si>
  <si>
    <t xml:space="preserve">within_hours</t>
  </si>
  <si>
    <t xml:space="preserve">Formula Calculations</t>
  </si>
  <si>
    <t xml:space="preserve">Final scores and probabilities are Excel formulas linked to the other sheets.</t>
  </si>
  <si>
    <t xml:space="preserve">Calculation</t>
  </si>
  <si>
    <t xml:space="preserve">Prior P(C_k)</t>
  </si>
  <si>
    <t xml:space="preserve">Sum token log contributions</t>
  </si>
  <si>
    <t xml:space="preserve">sum_i count(token_i)*ln(P(token_i|fraud/injection/safe))</t>
  </si>
  <si>
    <t xml:space="preserve">Raw log score</t>
  </si>
  <si>
    <t xml:space="preserve">log_score(fraud/injection/safe)=ln(P(class))+sum token log contributions</t>
  </si>
  <si>
    <t xml:space="preserve">Token count</t>
  </si>
  <si>
    <t xml:space="preserve">token_count = sum_i count(x_i)</t>
  </si>
  <si>
    <t xml:space="preserve">Calibrated logit</t>
  </si>
  <si>
    <t xml:space="preserve">logit(fraud/injection/safe)=raw_log_score(fraud/injection/safe)/token_count</t>
  </si>
  <si>
    <t xml:space="preserve">Max logit</t>
  </si>
  <si>
    <t xml:space="preserve">max_logit=max(logit(fraud),logit(injection),logit(safe))</t>
  </si>
  <si>
    <t xml:space="preserve">Exponentiated score</t>
  </si>
  <si>
    <t xml:space="preserve">exp_score(class)=EXP((logit(class)-max_logit)/temperature)</t>
  </si>
  <si>
    <t xml:space="preserve">Final probability</t>
  </si>
  <si>
    <t xml:space="preserve">P(fraud|features), P(injection|features), P(safe|features) = each exp_score / total exp_scores</t>
  </si>
  <si>
    <t xml:space="preserve">Predicted label</t>
  </si>
  <si>
    <t xml:space="preserve">predicted_label = class with maximum raw log score</t>
  </si>
  <si>
    <t xml:space="preserve">Status</t>
  </si>
  <si>
    <t xml:space="preserve">status = MALICIOUS when predicted label is fraud or injection, otherwise SAFE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</si>
</sst>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0"/>
    <numFmt numFmtId="166" formatCode="0.000000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ptos Display"/>
      <family val="0"/>
      <charset val="1"/>
    </font>
    <font>
      <i val="true"/>
      <sz val="10"/>
      <color rgb="FF17324D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FFFFF"/>
      <name val="Apto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1F8"/>
        <bgColor rgb="FFF7F4EA"/>
      </patternFill>
    </fill>
    <fill>
      <patternFill patternType="solid">
        <fgColor rgb="FF2E6E65"/>
        <bgColor rgb="FF008080"/>
      </patternFill>
    </fill>
    <fill>
      <patternFill patternType="solid">
        <fgColor rgb="FFFFF7D6"/>
        <bgColor rgb="FFF7F4EA"/>
      </patternFill>
    </fill>
    <fill>
      <patternFill patternType="solid">
        <fgColor rgb="FFF7F4EA"/>
        <bgColor rgb="FFFFF7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/>
      <top style="thin">
        <color rgb="FFD9E2EC"/>
      </top>
      <bottom style="thin">
        <color rgb="FFD9E2E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6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65"/>
      <rgbColor rgb="FFC0C0C0"/>
      <rgbColor rgb="FF808080"/>
      <rgbColor rgb="FF9999FF"/>
      <rgbColor rgb="FF993366"/>
      <rgbColor rgb="FFFFF7D6"/>
      <rgbColor rgb="FFEAF1F8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4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12" activeCellId="0" sqref="F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4.03"/>
    <col collapsed="false" customWidth="true" hidden="false" outlineLevel="0" max="3" min="3" style="1" width="50"/>
    <col collapsed="false" customWidth="true" hidden="false" outlineLevel="0" max="16384" min="16384" style="1" width="11.53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/>
      <c r="B2" s="3"/>
      <c r="C2" s="3"/>
    </row>
    <row r="3" customFormat="false" ht="15" hidden="false" customHeight="true" outlineLevel="0" collapsed="false">
      <c r="A3" s="4"/>
      <c r="B3" s="4"/>
      <c r="C3" s="4"/>
    </row>
    <row r="4" customFormat="false" ht="15" hidden="false" customHeight="true" outlineLevel="0" collapsed="false">
      <c r="A4" s="5" t="s">
        <v>1</v>
      </c>
      <c r="B4" s="5" t="s">
        <v>2</v>
      </c>
      <c r="C4" s="4"/>
    </row>
    <row r="5" customFormat="false" ht="15" hidden="false" customHeight="true" outlineLevel="0" collapsed="false">
      <c r="A5" s="6" t="s">
        <v>3</v>
      </c>
      <c r="B5" s="7" t="s">
        <v>4</v>
      </c>
      <c r="C5" s="4"/>
    </row>
    <row r="6" customFormat="false" ht="150" hidden="false" customHeight="true" outlineLevel="0" collapsed="false">
      <c r="A6" s="6" t="s">
        <v>5</v>
      </c>
      <c r="B6" s="7" t="s">
        <v>6</v>
      </c>
      <c r="C6" s="4"/>
    </row>
    <row r="7" customFormat="false" ht="15" hidden="false" customHeight="true" outlineLevel="0" collapsed="false">
      <c r="A7" s="4"/>
      <c r="B7" s="4"/>
      <c r="C7" s="4"/>
    </row>
    <row r="8" customFormat="false" ht="15" hidden="false" customHeight="true" outlineLevel="0" collapsed="false">
      <c r="A8" s="5" t="s">
        <v>7</v>
      </c>
      <c r="B8" s="5" t="s">
        <v>8</v>
      </c>
      <c r="C8" s="5" t="s">
        <v>9</v>
      </c>
    </row>
    <row r="9" customFormat="false" ht="91.5" hidden="false" customHeight="true" outlineLevel="0" collapsed="false">
      <c r="A9" s="6" t="s">
        <v>10</v>
      </c>
      <c r="B9" s="6" t="s">
        <v>11</v>
      </c>
      <c r="C9" s="6" t="s">
        <v>12</v>
      </c>
    </row>
    <row r="10" customFormat="false" ht="63.75" hidden="false" customHeight="true" outlineLevel="0" collapsed="false">
      <c r="A10" s="6" t="s">
        <v>13</v>
      </c>
      <c r="B10" s="6" t="s">
        <v>14</v>
      </c>
      <c r="C10" s="6" t="s">
        <v>15</v>
      </c>
    </row>
    <row r="11" customFormat="false" ht="81.75" hidden="false" customHeight="true" outlineLevel="0" collapsed="false">
      <c r="A11" s="6" t="s">
        <v>16</v>
      </c>
      <c r="B11" s="6" t="s">
        <v>17</v>
      </c>
      <c r="C11" s="6" t="s">
        <v>18</v>
      </c>
    </row>
    <row r="12" customFormat="false" ht="81.75" hidden="false" customHeight="true" outlineLevel="0" collapsed="false">
      <c r="A12" s="6" t="s">
        <v>19</v>
      </c>
      <c r="B12" s="6" t="s">
        <v>20</v>
      </c>
      <c r="C12" s="6" t="s">
        <v>21</v>
      </c>
    </row>
    <row r="13" customFormat="false" ht="63.75" hidden="false" customHeight="true" outlineLevel="0" collapsed="false">
      <c r="A13" s="6" t="s">
        <v>22</v>
      </c>
      <c r="B13" s="6" t="s">
        <v>23</v>
      </c>
      <c r="C13" s="6" t="s">
        <v>24</v>
      </c>
    </row>
    <row r="14" customFormat="false" ht="81.75" hidden="false" customHeight="true" outlineLevel="0" collapsed="false">
      <c r="B14" s="8"/>
    </row>
    <row r="15" customFormat="false" ht="63.75" hidden="false" customHeight="true" outlineLevel="0" collapsed="false">
      <c r="B15" s="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5" activeCellId="0" sqref="E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5" min="5" style="1" width="52"/>
  </cols>
  <sheetData>
    <row r="1" customFormat="false" ht="24" hidden="false" customHeight="true" outlineLevel="0" collapsed="false">
      <c r="A1" s="2" t="s">
        <v>25</v>
      </c>
      <c r="B1" s="2"/>
      <c r="C1" s="2"/>
      <c r="D1" s="2"/>
      <c r="E1" s="2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</row>
    <row r="5" customFormat="false" ht="15" hidden="false" customHeight="true" outlineLevel="0" collapsed="false">
      <c r="A5" s="6" t="s">
        <v>31</v>
      </c>
      <c r="B5" s="6" t="n">
        <v>3333</v>
      </c>
      <c r="C5" s="6" t="n">
        <v>3333</v>
      </c>
      <c r="D5" s="6" t="n">
        <v>3334</v>
      </c>
      <c r="E5" s="6" t="s">
        <v>32</v>
      </c>
    </row>
    <row r="6" customFormat="false" ht="15" hidden="false" customHeight="true" outlineLevel="0" collapsed="false">
      <c r="A6" s="6" t="s">
        <v>33</v>
      </c>
      <c r="B6" s="6" t="n">
        <v>10000</v>
      </c>
      <c r="C6" s="6" t="n">
        <v>10000</v>
      </c>
      <c r="D6" s="6" t="n">
        <v>10000</v>
      </c>
      <c r="E6" s="6" t="s">
        <v>34</v>
      </c>
    </row>
    <row r="7" customFormat="false" ht="15" hidden="false" customHeight="true" outlineLevel="0" collapsed="false">
      <c r="A7" s="6" t="s">
        <v>35</v>
      </c>
      <c r="B7" s="9" t="n">
        <f aca="false">B5/B6</f>
        <v>0.3333</v>
      </c>
      <c r="C7" s="9" t="n">
        <f aca="false">C5/C6</f>
        <v>0.3333</v>
      </c>
      <c r="D7" s="9" t="n">
        <f aca="false">D5/D6</f>
        <v>0.3334</v>
      </c>
      <c r="E7" s="6" t="s">
        <v>36</v>
      </c>
    </row>
    <row r="8" customFormat="false" ht="15" hidden="false" customHeight="true" outlineLevel="0" collapsed="false">
      <c r="A8" s="6" t="s">
        <v>37</v>
      </c>
      <c r="B8" s="9" t="n">
        <f aca="false">LN(B7)</f>
        <v>-1.09871229366844</v>
      </c>
      <c r="C8" s="9" t="n">
        <f aca="false">LN(C7)</f>
        <v>-1.09871229366844</v>
      </c>
      <c r="D8" s="9" t="n">
        <f aca="false">LN(D7)</f>
        <v>-1.09841230866544</v>
      </c>
      <c r="E8" s="6" t="s">
        <v>38</v>
      </c>
    </row>
    <row r="9" customFormat="false" ht="15" hidden="false" customHeight="true" outlineLevel="0" collapsed="false">
      <c r="A9" s="6" t="s">
        <v>39</v>
      </c>
      <c r="B9" s="6" t="n">
        <v>1168629</v>
      </c>
      <c r="C9" s="6" t="n">
        <v>879465</v>
      </c>
      <c r="D9" s="6" t="n">
        <v>219954</v>
      </c>
      <c r="E9" s="6" t="s">
        <v>40</v>
      </c>
    </row>
    <row r="10" customFormat="false" ht="15" hidden="false" customHeight="true" outlineLevel="0" collapsed="false">
      <c r="A10" s="6" t="s">
        <v>41</v>
      </c>
      <c r="B10" s="6" t="n">
        <v>6874</v>
      </c>
      <c r="C10" s="6" t="n">
        <v>6874</v>
      </c>
      <c r="D10" s="6" t="n">
        <v>6874</v>
      </c>
      <c r="E10" s="6" t="s">
        <v>42</v>
      </c>
    </row>
    <row r="11" customFormat="false" ht="15" hidden="false" customHeight="true" outlineLevel="0" collapsed="false">
      <c r="A11" s="6" t="s">
        <v>43</v>
      </c>
      <c r="B11" s="6" t="n">
        <v>1</v>
      </c>
      <c r="C11" s="6" t="n">
        <v>1</v>
      </c>
      <c r="D11" s="6" t="n">
        <v>1</v>
      </c>
      <c r="E11" s="6" t="s">
        <v>44</v>
      </c>
    </row>
    <row r="12" customFormat="false" ht="15" hidden="false" customHeight="true" outlineLevel="0" collapsed="false">
      <c r="A12" s="6" t="s">
        <v>45</v>
      </c>
      <c r="B12" s="6" t="n">
        <v>0.2</v>
      </c>
      <c r="C12" s="6" t="n">
        <v>0.2</v>
      </c>
      <c r="D12" s="6" t="n">
        <v>0.2</v>
      </c>
      <c r="E12" s="6" t="s">
        <v>46</v>
      </c>
    </row>
    <row r="13" customFormat="false" ht="15" hidden="false" customHeight="true" outlineLevel="0" collapsed="false">
      <c r="A13" s="6" t="s">
        <v>47</v>
      </c>
      <c r="B13" s="6" t="n">
        <v>10</v>
      </c>
      <c r="C13" s="6" t="n">
        <v>10</v>
      </c>
      <c r="D13" s="6" t="n">
        <v>10</v>
      </c>
      <c r="E13" s="6" t="s">
        <v>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9" activeCellId="0" sqref="H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45"/>
  </cols>
  <sheetData>
    <row r="1" customFormat="false" ht="24" hidden="false" customHeight="true" outlineLevel="0" collapsed="false">
      <c r="A1" s="2" t="s">
        <v>49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56</v>
      </c>
    </row>
    <row r="5" customFormat="false" ht="34.5" hidden="false" customHeight="true" outlineLevel="0" collapsed="false">
      <c r="A5" s="6" t="s">
        <v>57</v>
      </c>
      <c r="B5" s="6" t="s">
        <v>58</v>
      </c>
      <c r="C5" s="6" t="b">
        <f aca="false">--ISNUMBER(SEARCH(A5,LOWER(Inputs!$B$5&amp;" "&amp;Inputs!$B$6)))</f>
        <v>1</v>
      </c>
      <c r="D5" s="6" t="n">
        <v>2</v>
      </c>
      <c r="E5" s="6" t="n">
        <f aca="false">IF(AND(B5="injection",C5=1),'Model Parameters'!$C$13,0)</f>
        <v>0</v>
      </c>
      <c r="F5" s="6" t="n">
        <v>2</v>
      </c>
      <c r="G5" s="6" t="s">
        <v>59</v>
      </c>
    </row>
    <row r="6" customFormat="false" ht="34.5" hidden="false" customHeight="true" outlineLevel="0" collapsed="false">
      <c r="A6" s="6" t="s">
        <v>60</v>
      </c>
      <c r="B6" s="6" t="s">
        <v>58</v>
      </c>
      <c r="C6" s="6" t="b">
        <f aca="false">--ISNUMBER(SEARCH(A6,LOWER(Inputs!$B$5&amp;" "&amp;Inputs!$B$6)))</f>
        <v>1</v>
      </c>
      <c r="D6" s="6" t="n">
        <v>2</v>
      </c>
      <c r="E6" s="6" t="n">
        <f aca="false">IF(AND(B6="injection",C6=1),'Model Parameters'!$C$13,0)</f>
        <v>0</v>
      </c>
      <c r="F6" s="6" t="n">
        <v>2</v>
      </c>
      <c r="G6" s="6" t="s">
        <v>59</v>
      </c>
    </row>
    <row r="7" customFormat="false" ht="34.5" hidden="false" customHeight="true" outlineLevel="0" collapsed="false">
      <c r="A7" s="6" t="s">
        <v>61</v>
      </c>
      <c r="B7" s="6" t="s">
        <v>58</v>
      </c>
      <c r="C7" s="6" t="b">
        <f aca="false">--ISNUMBER(SEARCH(A7,LOWER(Inputs!$B$5&amp;" "&amp;Inputs!$B$6)))</f>
        <v>0</v>
      </c>
      <c r="D7" s="6" t="n">
        <f aca="false">IF(AND(B7="fraud",C7=1),'Model Parameters'!$B$13,0)</f>
        <v>0</v>
      </c>
      <c r="E7" s="6" t="n">
        <f aca="false">IF(AND(B7="injection",C7=1),'Model Parameters'!$C$13,0)</f>
        <v>0</v>
      </c>
      <c r="F7" s="6" t="n">
        <f aca="false">IF(C7=1,IF(B7="fraud",'Model Parameters'!$B$13,'Model Parameters'!$C$13),0)</f>
        <v>0</v>
      </c>
      <c r="G7" s="6" t="s">
        <v>59</v>
      </c>
    </row>
    <row r="8" customFormat="false" ht="34.5" hidden="false" customHeight="true" outlineLevel="0" collapsed="false">
      <c r="A8" s="6" t="s">
        <v>62</v>
      </c>
      <c r="B8" s="6" t="s">
        <v>58</v>
      </c>
      <c r="C8" s="6" t="b">
        <f aca="false">--ISNUMBER(SEARCH(A8,LOWER(Inputs!$B$5&amp;" "&amp;Inputs!$B$6)))</f>
        <v>0</v>
      </c>
      <c r="D8" s="6" t="n">
        <f aca="false">IF(AND(B8="fraud",C8=1),'Model Parameters'!$B$13,0)</f>
        <v>0</v>
      </c>
      <c r="E8" s="6" t="n">
        <f aca="false">IF(AND(B8="injection",C8=1),'Model Parameters'!$C$13,0)</f>
        <v>0</v>
      </c>
      <c r="F8" s="6" t="n">
        <f aca="false">IF(C8=1,IF(B8="fraud",'Model Parameters'!$B$13,'Model Parameters'!$C$13),0)</f>
        <v>0</v>
      </c>
      <c r="G8" s="6" t="s">
        <v>59</v>
      </c>
    </row>
    <row r="9" customFormat="false" ht="34.5" hidden="false" customHeight="true" outlineLevel="0" collapsed="false">
      <c r="A9" s="6" t="s">
        <v>63</v>
      </c>
      <c r="B9" s="6" t="s">
        <v>58</v>
      </c>
      <c r="C9" s="6" t="b">
        <f aca="false">--ISNUMBER(SEARCH(A9,LOWER(Inputs!$B$5&amp;" "&amp;Inputs!$B$6)))</f>
        <v>0</v>
      </c>
      <c r="D9" s="6" t="n">
        <f aca="false">IF(AND(B9="fraud",C9=1),'Model Parameters'!$B$13,0)</f>
        <v>0</v>
      </c>
      <c r="E9" s="6" t="n">
        <f aca="false">IF(AND(B9="injection",C9=1),'Model Parameters'!$C$13,0)</f>
        <v>0</v>
      </c>
      <c r="F9" s="6" t="n">
        <f aca="false">IF(C9=1,IF(B9="fraud",'Model Parameters'!$B$13,'Model Parameters'!$C$13),0)</f>
        <v>0</v>
      </c>
      <c r="G9" s="6" t="s">
        <v>59</v>
      </c>
    </row>
    <row r="10" customFormat="false" ht="34.5" hidden="false" customHeight="true" outlineLevel="0" collapsed="false">
      <c r="A10" s="6" t="s">
        <v>64</v>
      </c>
      <c r="B10" s="6" t="s">
        <v>58</v>
      </c>
      <c r="C10" s="6" t="b">
        <f aca="false">--ISNUMBER(SEARCH(A10,LOWER(Inputs!$B$5&amp;" "&amp;Inputs!$B$6)))</f>
        <v>0</v>
      </c>
      <c r="D10" s="6" t="n">
        <f aca="false">IF(AND(B10="fraud",C10=1),'Model Parameters'!$B$13,0)</f>
        <v>0</v>
      </c>
      <c r="E10" s="6" t="n">
        <f aca="false">IF(AND(B10="injection",C10=1),'Model Parameters'!$C$13,0)</f>
        <v>0</v>
      </c>
      <c r="F10" s="6" t="n">
        <f aca="false">IF(C10=1,IF(B10="fraud",'Model Parameters'!$B$13,'Model Parameters'!$C$13),0)</f>
        <v>0</v>
      </c>
      <c r="G10" s="6" t="s">
        <v>59</v>
      </c>
    </row>
    <row r="11" customFormat="false" ht="34.5" hidden="false" customHeight="true" outlineLevel="0" collapsed="false">
      <c r="A11" s="6" t="s">
        <v>65</v>
      </c>
      <c r="B11" s="6" t="s">
        <v>58</v>
      </c>
      <c r="C11" s="6" t="b">
        <f aca="false">--ISNUMBER(SEARCH(A11,LOWER(Inputs!$B$5&amp;" "&amp;Inputs!$B$6)))</f>
        <v>0</v>
      </c>
      <c r="D11" s="6" t="n">
        <f aca="false">IF(AND(B11="fraud",C11=1),'Model Parameters'!$B$13,0)</f>
        <v>0</v>
      </c>
      <c r="E11" s="6" t="n">
        <f aca="false">IF(AND(B11="injection",C11=1),'Model Parameters'!$C$13,0)</f>
        <v>0</v>
      </c>
      <c r="F11" s="6" t="n">
        <f aca="false">IF(C11=1,IF(B11="fraud",'Model Parameters'!$B$13,'Model Parameters'!$C$13),0)</f>
        <v>0</v>
      </c>
      <c r="G11" s="6" t="s">
        <v>59</v>
      </c>
    </row>
    <row r="12" customFormat="false" ht="34.5" hidden="false" customHeight="true" outlineLevel="0" collapsed="false">
      <c r="A12" s="6" t="s">
        <v>66</v>
      </c>
      <c r="B12" s="6" t="s">
        <v>58</v>
      </c>
      <c r="C12" s="6" t="b">
        <f aca="false">--ISNUMBER(SEARCH(A12,LOWER(Inputs!$B$5&amp;" "&amp;Inputs!$B$6)))</f>
        <v>0</v>
      </c>
      <c r="D12" s="6" t="n">
        <f aca="false">IF(AND(B12="fraud",C12=1),'Model Parameters'!$B$13,0)</f>
        <v>0</v>
      </c>
      <c r="E12" s="6" t="n">
        <f aca="false">IF(AND(B12="injection",C12=1),'Model Parameters'!$C$13,0)</f>
        <v>0</v>
      </c>
      <c r="F12" s="6" t="n">
        <f aca="false">IF(C12=1,IF(B12="fraud",'Model Parameters'!$B$13,'Model Parameters'!$C$13),0)</f>
        <v>0</v>
      </c>
      <c r="G12" s="6" t="s">
        <v>59</v>
      </c>
    </row>
    <row r="13" customFormat="false" ht="34.5" hidden="false" customHeight="true" outlineLevel="0" collapsed="false">
      <c r="A13" s="6" t="s">
        <v>67</v>
      </c>
      <c r="B13" s="6" t="s">
        <v>58</v>
      </c>
      <c r="C13" s="6" t="b">
        <f aca="false">--ISNUMBER(SEARCH(A13,LOWER(Inputs!$B$5&amp;" "&amp;Inputs!$B$6)))</f>
        <v>0</v>
      </c>
      <c r="D13" s="6" t="n">
        <f aca="false">IF(AND(B13="fraud",C13=1),'Model Parameters'!$B$13,0)</f>
        <v>0</v>
      </c>
      <c r="E13" s="6" t="n">
        <f aca="false">IF(AND(B13="injection",C13=1),'Model Parameters'!$C$13,0)</f>
        <v>0</v>
      </c>
      <c r="F13" s="6" t="n">
        <f aca="false">IF(C13=1,IF(B13="fraud",'Model Parameters'!$B$13,'Model Parameters'!$C$13),0)</f>
        <v>0</v>
      </c>
      <c r="G13" s="6" t="s">
        <v>59</v>
      </c>
    </row>
    <row r="14" customFormat="false" ht="34.5" hidden="false" customHeight="true" outlineLevel="0" collapsed="false">
      <c r="A14" s="6" t="s">
        <v>68</v>
      </c>
      <c r="B14" s="6" t="s">
        <v>58</v>
      </c>
      <c r="C14" s="6" t="b">
        <f aca="false">--ISNUMBER(SEARCH(A14,LOWER(Inputs!$B$5&amp;" "&amp;Inputs!$B$6)))</f>
        <v>0</v>
      </c>
      <c r="D14" s="6" t="n">
        <f aca="false">IF(AND(B14="fraud",C14=1),'Model Parameters'!$B$13,0)</f>
        <v>0</v>
      </c>
      <c r="E14" s="6" t="n">
        <f aca="false">IF(AND(B14="injection",C14=1),'Model Parameters'!$C$13,0)</f>
        <v>0</v>
      </c>
      <c r="F14" s="6" t="n">
        <f aca="false">IF(C14=1,IF(B14="fraud",'Model Parameters'!$B$13,'Model Parameters'!$C$13),0)</f>
        <v>0</v>
      </c>
      <c r="G14" s="6" t="s">
        <v>59</v>
      </c>
    </row>
    <row r="15" customFormat="false" ht="34.5" hidden="false" customHeight="true" outlineLevel="0" collapsed="false">
      <c r="A15" s="6" t="s">
        <v>69</v>
      </c>
      <c r="B15" s="6" t="s">
        <v>58</v>
      </c>
      <c r="C15" s="6" t="b">
        <f aca="false">--ISNUMBER(SEARCH(A15,LOWER(Inputs!$B$5&amp;" "&amp;Inputs!$B$6)))</f>
        <v>1</v>
      </c>
      <c r="D15" s="6" t="n">
        <v>2</v>
      </c>
      <c r="E15" s="6" t="n">
        <f aca="false">IF(AND(B15="injection",C15=1),'Model Parameters'!$C$13,0)</f>
        <v>0</v>
      </c>
      <c r="F15" s="6" t="n">
        <v>2</v>
      </c>
      <c r="G15" s="6" t="s">
        <v>59</v>
      </c>
    </row>
    <row r="16" customFormat="false" ht="34.5" hidden="false" customHeight="true" outlineLevel="0" collapsed="false">
      <c r="A16" s="6" t="s">
        <v>70</v>
      </c>
      <c r="B16" s="6" t="s">
        <v>58</v>
      </c>
      <c r="C16" s="6" t="b">
        <f aca="false">--ISNUMBER(SEARCH(A16,LOWER(Inputs!$B$5&amp;" "&amp;Inputs!$B$6)))</f>
        <v>0</v>
      </c>
      <c r="D16" s="6" t="n">
        <f aca="false">IF(AND(B16="fraud",C16=1),'Model Parameters'!$B$13,0)</f>
        <v>0</v>
      </c>
      <c r="E16" s="6" t="n">
        <f aca="false">IF(AND(B16="injection",C16=1),'Model Parameters'!$C$13,0)</f>
        <v>0</v>
      </c>
      <c r="F16" s="6" t="n">
        <f aca="false">IF(C16=1,IF(B16="fraud",'Model Parameters'!$B$13,'Model Parameters'!$C$13),0)</f>
        <v>0</v>
      </c>
      <c r="G16" s="6" t="s">
        <v>59</v>
      </c>
    </row>
    <row r="17" customFormat="false" ht="34.5" hidden="false" customHeight="true" outlineLevel="0" collapsed="false">
      <c r="A17" s="6" t="s">
        <v>71</v>
      </c>
      <c r="B17" s="6" t="s">
        <v>58</v>
      </c>
      <c r="C17" s="6" t="b">
        <f aca="false">--ISNUMBER(SEARCH(A17,LOWER(Inputs!$B$5&amp;" "&amp;Inputs!$B$6)))</f>
        <v>1</v>
      </c>
      <c r="D17" s="6" t="n">
        <v>2</v>
      </c>
      <c r="E17" s="6" t="n">
        <f aca="false">IF(AND(B17="injection",C17=1),'Model Parameters'!$C$13,0)</f>
        <v>0</v>
      </c>
      <c r="F17" s="6" t="n">
        <v>2</v>
      </c>
      <c r="G17" s="6" t="s">
        <v>59</v>
      </c>
    </row>
    <row r="18" customFormat="false" ht="34.5" hidden="false" customHeight="true" outlineLevel="0" collapsed="false">
      <c r="A18" s="6" t="s">
        <v>72</v>
      </c>
      <c r="B18" s="6" t="s">
        <v>58</v>
      </c>
      <c r="C18" s="6" t="b">
        <f aca="false">--ISNUMBER(SEARCH(A18,LOWER(Inputs!$B$5&amp;" "&amp;Inputs!$B$6)))</f>
        <v>0</v>
      </c>
      <c r="D18" s="6" t="n">
        <f aca="false">IF(AND(B18="fraud",C18=1),'Model Parameters'!$B$13,0)</f>
        <v>0</v>
      </c>
      <c r="E18" s="6" t="n">
        <f aca="false">IF(AND(B18="injection",C18=1),'Model Parameters'!$C$13,0)</f>
        <v>0</v>
      </c>
      <c r="F18" s="6" t="n">
        <f aca="false">IF(C18=1,IF(B18="fraud",'Model Parameters'!$B$13,'Model Parameters'!$C$13),0)</f>
        <v>0</v>
      </c>
      <c r="G18" s="6" t="s">
        <v>59</v>
      </c>
    </row>
    <row r="19" customFormat="false" ht="34.5" hidden="false" customHeight="true" outlineLevel="0" collapsed="false">
      <c r="A19" s="6" t="s">
        <v>73</v>
      </c>
      <c r="B19" s="6" t="s">
        <v>58</v>
      </c>
      <c r="C19" s="6" t="b">
        <f aca="false">--ISNUMBER(SEARCH(A19,LOWER(Inputs!$B$5&amp;" "&amp;Inputs!$B$6)))</f>
        <v>0</v>
      </c>
      <c r="D19" s="6" t="n">
        <f aca="false">IF(AND(B19="fraud",C19=1),'Model Parameters'!$B$13,0)</f>
        <v>0</v>
      </c>
      <c r="E19" s="6" t="n">
        <f aca="false">IF(AND(B19="injection",C19=1),'Model Parameters'!$C$13,0)</f>
        <v>0</v>
      </c>
      <c r="F19" s="6" t="n">
        <f aca="false">IF(C19=1,IF(B19="fraud",'Model Parameters'!$B$13,'Model Parameters'!$C$13),0)</f>
        <v>0</v>
      </c>
      <c r="G19" s="6" t="s">
        <v>59</v>
      </c>
    </row>
    <row r="20" customFormat="false" ht="34.5" hidden="false" customHeight="true" outlineLevel="0" collapsed="false">
      <c r="A20" s="6" t="s">
        <v>74</v>
      </c>
      <c r="B20" s="6" t="s">
        <v>58</v>
      </c>
      <c r="C20" s="6" t="b">
        <f aca="false">--ISNUMBER(SEARCH(A20,LOWER(Inputs!$B$5&amp;" "&amp;Inputs!$B$6)))</f>
        <v>0</v>
      </c>
      <c r="D20" s="6" t="n">
        <f aca="false">IF(AND(B20="fraud",C20=1),'Model Parameters'!$B$13,0)</f>
        <v>0</v>
      </c>
      <c r="E20" s="6" t="n">
        <f aca="false">IF(AND(B20="injection",C20=1),'Model Parameters'!$C$13,0)</f>
        <v>0</v>
      </c>
      <c r="F20" s="6" t="n">
        <f aca="false">IF(C20=1,IF(B20="fraud",'Model Parameters'!$B$13,'Model Parameters'!$C$13),0)</f>
        <v>0</v>
      </c>
      <c r="G20" s="6" t="s">
        <v>59</v>
      </c>
    </row>
    <row r="21" customFormat="false" ht="34.5" hidden="false" customHeight="true" outlineLevel="0" collapsed="false">
      <c r="A21" s="6" t="s">
        <v>75</v>
      </c>
      <c r="B21" s="6" t="s">
        <v>58</v>
      </c>
      <c r="C21" s="6" t="b">
        <f aca="false">--ISNUMBER(SEARCH(A21,LOWER(Inputs!$B$5&amp;" "&amp;Inputs!$B$6)))</f>
        <v>0</v>
      </c>
      <c r="D21" s="6" t="n">
        <f aca="false">IF(AND(B21="fraud",C21=1),'Model Parameters'!$B$13,0)</f>
        <v>0</v>
      </c>
      <c r="E21" s="6" t="n">
        <f aca="false">IF(AND(B21="injection",C21=1),'Model Parameters'!$C$13,0)</f>
        <v>0</v>
      </c>
      <c r="F21" s="6" t="n">
        <f aca="false">IF(C21=1,IF(B21="fraud",'Model Parameters'!$B$13,'Model Parameters'!$C$13),0)</f>
        <v>0</v>
      </c>
      <c r="G21" s="6" t="s">
        <v>59</v>
      </c>
    </row>
    <row r="22" customFormat="false" ht="34.5" hidden="false" customHeight="true" outlineLevel="0" collapsed="false">
      <c r="A22" s="6" t="s">
        <v>76</v>
      </c>
      <c r="B22" s="6" t="s">
        <v>58</v>
      </c>
      <c r="C22" s="6" t="b">
        <f aca="false">--ISNUMBER(SEARCH(A22,LOWER(Inputs!$B$5&amp;" "&amp;Inputs!$B$6)))</f>
        <v>1</v>
      </c>
      <c r="D22" s="6" t="n">
        <v>2</v>
      </c>
      <c r="E22" s="6" t="n">
        <f aca="false">IF(AND(B22="injection",C22=1),'Model Parameters'!$C$13,0)</f>
        <v>0</v>
      </c>
      <c r="F22" s="6" t="n">
        <v>2</v>
      </c>
      <c r="G22" s="6" t="s">
        <v>59</v>
      </c>
    </row>
    <row r="23" customFormat="false" ht="34.5" hidden="false" customHeight="true" outlineLevel="0" collapsed="false">
      <c r="A23" s="6" t="s">
        <v>77</v>
      </c>
      <c r="B23" s="6" t="s">
        <v>58</v>
      </c>
      <c r="C23" s="6" t="b">
        <f aca="false">--ISNUMBER(SEARCH(A23,LOWER(Inputs!$B$5&amp;" "&amp;Inputs!$B$6)))</f>
        <v>1</v>
      </c>
      <c r="D23" s="6" t="n">
        <v>2</v>
      </c>
      <c r="E23" s="6" t="n">
        <f aca="false">IF(AND(B23="injection",C23=1),'Model Parameters'!$C$13,0)</f>
        <v>0</v>
      </c>
      <c r="F23" s="6" t="n">
        <v>2</v>
      </c>
      <c r="G23" s="6" t="s">
        <v>59</v>
      </c>
    </row>
    <row r="24" customFormat="false" ht="34.5" hidden="false" customHeight="true" outlineLevel="0" collapsed="false">
      <c r="A24" s="6" t="s">
        <v>78</v>
      </c>
      <c r="B24" s="6" t="s">
        <v>58</v>
      </c>
      <c r="C24" s="6" t="b">
        <f aca="false">--ISNUMBER(SEARCH(A24,LOWER(Inputs!$B$5&amp;" "&amp;Inputs!$B$6)))</f>
        <v>0</v>
      </c>
      <c r="D24" s="6" t="n">
        <f aca="false">IF(AND(B24="fraud",C24=1),'Model Parameters'!$B$13,0)</f>
        <v>0</v>
      </c>
      <c r="E24" s="6" t="n">
        <f aca="false">IF(AND(B24="injection",C24=1),'Model Parameters'!$C$13,0)</f>
        <v>0</v>
      </c>
      <c r="F24" s="6" t="n">
        <f aca="false">IF(C24=1,IF(B24="fraud",'Model Parameters'!$B$13,'Model Parameters'!$C$13),0)</f>
        <v>0</v>
      </c>
      <c r="G24" s="6" t="s">
        <v>59</v>
      </c>
    </row>
    <row r="25" customFormat="false" ht="34.5" hidden="false" customHeight="true" outlineLevel="0" collapsed="false">
      <c r="A25" s="6" t="s">
        <v>79</v>
      </c>
      <c r="B25" s="6" t="s">
        <v>58</v>
      </c>
      <c r="C25" s="6" t="b">
        <f aca="false">--ISNUMBER(SEARCH(A25,LOWER(Inputs!$B$5&amp;" "&amp;Inputs!$B$6)))</f>
        <v>0</v>
      </c>
      <c r="D25" s="6" t="n">
        <f aca="false">IF(AND(B25="fraud",C25=1),'Model Parameters'!$B$13,0)</f>
        <v>0</v>
      </c>
      <c r="E25" s="6" t="n">
        <f aca="false">IF(AND(B25="injection",C25=1),'Model Parameters'!$C$13,0)</f>
        <v>0</v>
      </c>
      <c r="F25" s="6" t="n">
        <f aca="false">IF(C25=1,IF(B25="fraud",'Model Parameters'!$B$13,'Model Parameters'!$C$13),0)</f>
        <v>0</v>
      </c>
      <c r="G25" s="6" t="s">
        <v>59</v>
      </c>
    </row>
    <row r="26" customFormat="false" ht="34.5" hidden="false" customHeight="true" outlineLevel="0" collapsed="false">
      <c r="A26" s="6" t="s">
        <v>80</v>
      </c>
      <c r="B26" s="6" t="s">
        <v>58</v>
      </c>
      <c r="C26" s="6" t="b">
        <f aca="false">--ISNUMBER(SEARCH(A26,LOWER(Inputs!$B$5&amp;" "&amp;Inputs!$B$6)))</f>
        <v>0</v>
      </c>
      <c r="D26" s="6" t="n">
        <f aca="false">IF(AND(B26="fraud",C26=1),'Model Parameters'!$B$13,0)</f>
        <v>0</v>
      </c>
      <c r="E26" s="6" t="n">
        <f aca="false">IF(AND(B26="injection",C26=1),'Model Parameters'!$C$13,0)</f>
        <v>0</v>
      </c>
      <c r="F26" s="6" t="n">
        <f aca="false">IF(C26=1,IF(B26="fraud",'Model Parameters'!$B$13,'Model Parameters'!$C$13),0)</f>
        <v>0</v>
      </c>
      <c r="G26" s="6" t="s">
        <v>59</v>
      </c>
    </row>
    <row r="27" customFormat="false" ht="34.5" hidden="false" customHeight="true" outlineLevel="0" collapsed="false">
      <c r="A27" s="6" t="s">
        <v>81</v>
      </c>
      <c r="B27" s="6" t="s">
        <v>58</v>
      </c>
      <c r="C27" s="6" t="b">
        <f aca="false">--ISNUMBER(SEARCH(A27,LOWER(Inputs!$B$5&amp;" "&amp;Inputs!$B$6)))</f>
        <v>0</v>
      </c>
      <c r="D27" s="6" t="n">
        <f aca="false">IF(AND(B27="fraud",C27=1),'Model Parameters'!$B$13,0)</f>
        <v>0</v>
      </c>
      <c r="E27" s="6" t="n">
        <f aca="false">IF(AND(B27="injection",C27=1),'Model Parameters'!$C$13,0)</f>
        <v>0</v>
      </c>
      <c r="F27" s="6" t="n">
        <f aca="false">IF(C27=1,IF(B27="fraud",'Model Parameters'!$B$13,'Model Parameters'!$C$13),0)</f>
        <v>0</v>
      </c>
      <c r="G27" s="6" t="s">
        <v>59</v>
      </c>
    </row>
    <row r="28" customFormat="false" ht="34.5" hidden="false" customHeight="true" outlineLevel="0" collapsed="false">
      <c r="A28" s="6" t="s">
        <v>82</v>
      </c>
      <c r="B28" s="6" t="s">
        <v>58</v>
      </c>
      <c r="C28" s="6" t="b">
        <f aca="false">--ISNUMBER(SEARCH(A28,LOWER(Inputs!$B$5&amp;" "&amp;Inputs!$B$6)))</f>
        <v>0</v>
      </c>
      <c r="D28" s="6" t="n">
        <f aca="false">IF(AND(B28="fraud",C28=1),'Model Parameters'!$B$13,0)</f>
        <v>0</v>
      </c>
      <c r="E28" s="6" t="n">
        <f aca="false">IF(AND(B28="injection",C28=1),'Model Parameters'!$C$13,0)</f>
        <v>0</v>
      </c>
      <c r="F28" s="6" t="n">
        <f aca="false">IF(C28=1,IF(B28="fraud",'Model Parameters'!$B$13,'Model Parameters'!$C$13),0)</f>
        <v>0</v>
      </c>
      <c r="G28" s="6" t="s">
        <v>59</v>
      </c>
    </row>
    <row r="29" customFormat="false" ht="34.5" hidden="false" customHeight="true" outlineLevel="0" collapsed="false">
      <c r="A29" s="6" t="s">
        <v>83</v>
      </c>
      <c r="B29" s="6" t="s">
        <v>58</v>
      </c>
      <c r="C29" s="6" t="b">
        <f aca="false">--ISNUMBER(SEARCH(A29,LOWER(Inputs!$B$5&amp;" "&amp;Inputs!$B$6)))</f>
        <v>0</v>
      </c>
      <c r="D29" s="6" t="n">
        <f aca="false">IF(AND(B29="fraud",C29=1),'Model Parameters'!$B$13,0)</f>
        <v>0</v>
      </c>
      <c r="E29" s="6" t="n">
        <f aca="false">IF(AND(B29="injection",C29=1),'Model Parameters'!$C$13,0)</f>
        <v>0</v>
      </c>
      <c r="F29" s="6" t="n">
        <f aca="false">IF(C29=1,IF(B29="fraud",'Model Parameters'!$B$13,'Model Parameters'!$C$13),0)</f>
        <v>0</v>
      </c>
      <c r="G29" s="6" t="s">
        <v>59</v>
      </c>
    </row>
    <row r="30" customFormat="false" ht="34.5" hidden="false" customHeight="true" outlineLevel="0" collapsed="false">
      <c r="A30" s="6" t="s">
        <v>84</v>
      </c>
      <c r="B30" s="6" t="s">
        <v>58</v>
      </c>
      <c r="C30" s="6" t="b">
        <f aca="false">--ISNUMBER(SEARCH(A30,LOWER(Inputs!$B$5&amp;" "&amp;Inputs!$B$6)))</f>
        <v>0</v>
      </c>
      <c r="D30" s="6" t="n">
        <f aca="false">IF(AND(B30="fraud",C30=1),'Model Parameters'!$B$13,0)</f>
        <v>0</v>
      </c>
      <c r="E30" s="6" t="n">
        <f aca="false">IF(AND(B30="injection",C30=1),'Model Parameters'!$C$13,0)</f>
        <v>0</v>
      </c>
      <c r="F30" s="6" t="n">
        <f aca="false">IF(C30=1,IF(B30="fraud",'Model Parameters'!$B$13,'Model Parameters'!$C$13),0)</f>
        <v>0</v>
      </c>
      <c r="G30" s="6" t="s">
        <v>59</v>
      </c>
    </row>
    <row r="31" customFormat="false" ht="34.5" hidden="false" customHeight="true" outlineLevel="0" collapsed="false">
      <c r="A31" s="6" t="s">
        <v>85</v>
      </c>
      <c r="B31" s="6" t="s">
        <v>58</v>
      </c>
      <c r="C31" s="6" t="b">
        <f aca="false">--ISNUMBER(SEARCH(A31,LOWER(Inputs!$B$5&amp;" "&amp;Inputs!$B$6)))</f>
        <v>0</v>
      </c>
      <c r="D31" s="6" t="n">
        <f aca="false">IF(AND(B31="fraud",C31=1),'Model Parameters'!$B$13,0)</f>
        <v>0</v>
      </c>
      <c r="E31" s="6" t="n">
        <f aca="false">IF(AND(B31="injection",C31=1),'Model Parameters'!$C$13,0)</f>
        <v>0</v>
      </c>
      <c r="F31" s="6" t="n">
        <f aca="false">IF(C31=1,IF(B31="fraud",'Model Parameters'!$B$13,'Model Parameters'!$C$13),0)</f>
        <v>0</v>
      </c>
      <c r="G31" s="6" t="s">
        <v>59</v>
      </c>
    </row>
    <row r="32" customFormat="false" ht="34.5" hidden="false" customHeight="true" outlineLevel="0" collapsed="false">
      <c r="A32" s="6" t="s">
        <v>86</v>
      </c>
      <c r="B32" s="6" t="s">
        <v>58</v>
      </c>
      <c r="C32" s="6" t="b">
        <f aca="false">--ISNUMBER(SEARCH(A32,LOWER(Inputs!$B$5&amp;" "&amp;Inputs!$B$6)))</f>
        <v>0</v>
      </c>
      <c r="D32" s="6" t="n">
        <f aca="false">IF(AND(B32="fraud",C32=1),'Model Parameters'!$B$13,0)</f>
        <v>0</v>
      </c>
      <c r="E32" s="6" t="n">
        <f aca="false">IF(AND(B32="injection",C32=1),'Model Parameters'!$C$13,0)</f>
        <v>0</v>
      </c>
      <c r="F32" s="6" t="n">
        <f aca="false">IF(C32=1,IF(B32="fraud",'Model Parameters'!$B$13,'Model Parameters'!$C$13),0)</f>
        <v>0</v>
      </c>
      <c r="G32" s="6" t="s">
        <v>59</v>
      </c>
    </row>
    <row r="33" customFormat="false" ht="34.5" hidden="false" customHeight="true" outlineLevel="0" collapsed="false">
      <c r="A33" s="6" t="s">
        <v>87</v>
      </c>
      <c r="B33" s="6" t="s">
        <v>58</v>
      </c>
      <c r="C33" s="6" t="b">
        <f aca="false">--ISNUMBER(SEARCH(A33,LOWER(Inputs!$B$5&amp;" "&amp;Inputs!$B$6)))</f>
        <v>0</v>
      </c>
      <c r="D33" s="6" t="n">
        <f aca="false">IF(AND(B33="fraud",C33=1),'Model Parameters'!$B$13,0)</f>
        <v>0</v>
      </c>
      <c r="E33" s="6" t="n">
        <f aca="false">IF(AND(B33="injection",C33=1),'Model Parameters'!$C$13,0)</f>
        <v>0</v>
      </c>
      <c r="F33" s="6" t="n">
        <f aca="false">IF(C33=1,IF(B33="fraud",'Model Parameters'!$B$13,'Model Parameters'!$C$13),0)</f>
        <v>0</v>
      </c>
      <c r="G33" s="6" t="s">
        <v>59</v>
      </c>
    </row>
    <row r="34" customFormat="false" ht="34.5" hidden="false" customHeight="true" outlineLevel="0" collapsed="false">
      <c r="A34" s="6" t="s">
        <v>88</v>
      </c>
      <c r="B34" s="6" t="s">
        <v>58</v>
      </c>
      <c r="C34" s="6" t="b">
        <f aca="false">--ISNUMBER(SEARCH(A34,LOWER(Inputs!$B$5&amp;" "&amp;Inputs!$B$6)))</f>
        <v>0</v>
      </c>
      <c r="D34" s="6" t="n">
        <f aca="false">IF(AND(B34="fraud",C34=1),'Model Parameters'!$B$13,0)</f>
        <v>0</v>
      </c>
      <c r="E34" s="6" t="n">
        <f aca="false">IF(AND(B34="injection",C34=1),'Model Parameters'!$C$13,0)</f>
        <v>0</v>
      </c>
      <c r="F34" s="6" t="n">
        <f aca="false">IF(C34=1,IF(B34="fraud",'Model Parameters'!$B$13,'Model Parameters'!$C$13),0)</f>
        <v>0</v>
      </c>
      <c r="G34" s="6" t="s">
        <v>59</v>
      </c>
    </row>
    <row r="35" customFormat="false" ht="34.5" hidden="false" customHeight="true" outlineLevel="0" collapsed="false">
      <c r="A35" s="6" t="s">
        <v>89</v>
      </c>
      <c r="B35" s="6" t="s">
        <v>58</v>
      </c>
      <c r="C35" s="6" t="b">
        <f aca="false">--ISNUMBER(SEARCH(A35,LOWER(Inputs!$B$5&amp;" "&amp;Inputs!$B$6)))</f>
        <v>1</v>
      </c>
      <c r="D35" s="6" t="n">
        <v>2</v>
      </c>
      <c r="E35" s="6" t="n">
        <f aca="false">IF(AND(B35="injection",C35=1),'Model Parameters'!$C$13,0)</f>
        <v>0</v>
      </c>
      <c r="F35" s="6" t="n">
        <v>2</v>
      </c>
      <c r="G35" s="6" t="s">
        <v>59</v>
      </c>
    </row>
    <row r="36" customFormat="false" ht="34.5" hidden="false" customHeight="true" outlineLevel="0" collapsed="false">
      <c r="A36" s="6" t="s">
        <v>90</v>
      </c>
      <c r="B36" s="6" t="s">
        <v>58</v>
      </c>
      <c r="C36" s="6" t="b">
        <f aca="false">--ISNUMBER(SEARCH(A36,LOWER(Inputs!$B$5&amp;" "&amp;Inputs!$B$6)))</f>
        <v>0</v>
      </c>
      <c r="D36" s="6" t="n">
        <f aca="false">IF(AND(B36="fraud",C36=1),'Model Parameters'!$B$13,0)</f>
        <v>0</v>
      </c>
      <c r="E36" s="6" t="n">
        <f aca="false">IF(AND(B36="injection",C36=1),'Model Parameters'!$C$13,0)</f>
        <v>0</v>
      </c>
      <c r="F36" s="6" t="n">
        <f aca="false">IF(C36=1,IF(B36="fraud",'Model Parameters'!$B$13,'Model Parameters'!$C$13),0)</f>
        <v>0</v>
      </c>
      <c r="G36" s="6" t="s">
        <v>59</v>
      </c>
    </row>
    <row r="37" customFormat="false" ht="34.5" hidden="false" customHeight="true" outlineLevel="0" collapsed="false">
      <c r="A37" s="6" t="s">
        <v>91</v>
      </c>
      <c r="B37" s="6" t="s">
        <v>58</v>
      </c>
      <c r="C37" s="6" t="b">
        <f aca="false">--ISNUMBER(SEARCH(A37,LOWER(Inputs!$B$5&amp;" "&amp;Inputs!$B$6)))</f>
        <v>0</v>
      </c>
      <c r="D37" s="6" t="n">
        <f aca="false">IF(AND(B37="fraud",C37=1),'Model Parameters'!$B$13,0)</f>
        <v>0</v>
      </c>
      <c r="E37" s="6" t="n">
        <f aca="false">IF(AND(B37="injection",C37=1),'Model Parameters'!$C$13,0)</f>
        <v>0</v>
      </c>
      <c r="F37" s="6" t="n">
        <f aca="false">IF(C37=1,IF(B37="fraud",'Model Parameters'!$B$13,'Model Parameters'!$C$13),0)</f>
        <v>0</v>
      </c>
      <c r="G37" s="6" t="s">
        <v>59</v>
      </c>
    </row>
    <row r="38" customFormat="false" ht="34.5" hidden="false" customHeight="true" outlineLevel="0" collapsed="false">
      <c r="A38" s="6" t="s">
        <v>92</v>
      </c>
      <c r="B38" s="6" t="s">
        <v>58</v>
      </c>
      <c r="C38" s="6" t="b">
        <f aca="false">--ISNUMBER(SEARCH(A38,LOWER(Inputs!$B$5&amp;" "&amp;Inputs!$B$6)))</f>
        <v>0</v>
      </c>
      <c r="D38" s="6" t="n">
        <f aca="false">IF(AND(B38="fraud",C38=1),'Model Parameters'!$B$13,0)</f>
        <v>0</v>
      </c>
      <c r="E38" s="6" t="n">
        <f aca="false">IF(AND(B38="injection",C38=1),'Model Parameters'!$C$13,0)</f>
        <v>0</v>
      </c>
      <c r="F38" s="6" t="n">
        <f aca="false">IF(C38=1,IF(B38="fraud",'Model Parameters'!$B$13,'Model Parameters'!$C$13),0)</f>
        <v>0</v>
      </c>
      <c r="G38" s="6" t="s">
        <v>59</v>
      </c>
    </row>
    <row r="39" customFormat="false" ht="34.5" hidden="false" customHeight="true" outlineLevel="0" collapsed="false">
      <c r="A39" s="6" t="s">
        <v>93</v>
      </c>
      <c r="B39" s="6" t="s">
        <v>58</v>
      </c>
      <c r="C39" s="6" t="b">
        <f aca="false">--ISNUMBER(SEARCH(A39,LOWER(Inputs!$B$5&amp;" "&amp;Inputs!$B$6)))</f>
        <v>0</v>
      </c>
      <c r="D39" s="6" t="n">
        <f aca="false">IF(AND(B39="fraud",C39=1),'Model Parameters'!$B$13,0)</f>
        <v>0</v>
      </c>
      <c r="E39" s="6" t="n">
        <f aca="false">IF(AND(B39="injection",C39=1),'Model Parameters'!$C$13,0)</f>
        <v>0</v>
      </c>
      <c r="F39" s="6" t="n">
        <f aca="false">IF(C39=1,IF(B39="fraud",'Model Parameters'!$B$13,'Model Parameters'!$C$13),0)</f>
        <v>0</v>
      </c>
      <c r="G39" s="6" t="s">
        <v>59</v>
      </c>
    </row>
    <row r="40" customFormat="false" ht="34.5" hidden="false" customHeight="true" outlineLevel="0" collapsed="false">
      <c r="A40" s="6" t="s">
        <v>94</v>
      </c>
      <c r="B40" s="6" t="s">
        <v>58</v>
      </c>
      <c r="C40" s="6" t="b">
        <f aca="false">--ISNUMBER(SEARCH(A40,LOWER(Inputs!$B$5&amp;" "&amp;Inputs!$B$6)))</f>
        <v>0</v>
      </c>
      <c r="D40" s="6" t="n">
        <f aca="false">IF(AND(B40="fraud",C40=1),'Model Parameters'!$B$13,0)</f>
        <v>0</v>
      </c>
      <c r="E40" s="6" t="n">
        <f aca="false">IF(AND(B40="injection",C40=1),'Model Parameters'!$C$13,0)</f>
        <v>0</v>
      </c>
      <c r="F40" s="6" t="n">
        <f aca="false">IF(C40=1,IF(B40="fraud",'Model Parameters'!$B$13,'Model Parameters'!$C$13),0)</f>
        <v>0</v>
      </c>
      <c r="G40" s="6" t="s">
        <v>59</v>
      </c>
    </row>
    <row r="41" customFormat="false" ht="34.5" hidden="false" customHeight="true" outlineLevel="0" collapsed="false">
      <c r="A41" s="6" t="s">
        <v>95</v>
      </c>
      <c r="B41" s="6" t="s">
        <v>58</v>
      </c>
      <c r="C41" s="6" t="b">
        <f aca="false">--ISNUMBER(SEARCH(A41,LOWER(Inputs!$B$5&amp;" "&amp;Inputs!$B$6)))</f>
        <v>0</v>
      </c>
      <c r="D41" s="6" t="n">
        <f aca="false">IF(AND(B41="fraud",C41=1),'Model Parameters'!$B$13,0)</f>
        <v>0</v>
      </c>
      <c r="E41" s="6" t="n">
        <f aca="false">IF(AND(B41="injection",C41=1),'Model Parameters'!$C$13,0)</f>
        <v>0</v>
      </c>
      <c r="F41" s="6" t="n">
        <f aca="false">IF(C41=1,IF(B41="fraud",'Model Parameters'!$B$13,'Model Parameters'!$C$13),0)</f>
        <v>0</v>
      </c>
      <c r="G41" s="6" t="s">
        <v>59</v>
      </c>
    </row>
    <row r="42" customFormat="false" ht="34.5" hidden="false" customHeight="true" outlineLevel="0" collapsed="false">
      <c r="A42" s="6" t="s">
        <v>96</v>
      </c>
      <c r="B42" s="6" t="s">
        <v>58</v>
      </c>
      <c r="C42" s="6" t="b">
        <f aca="false">--ISNUMBER(SEARCH(A42,LOWER(Inputs!$B$5&amp;" "&amp;Inputs!$B$6)))</f>
        <v>1</v>
      </c>
      <c r="D42" s="6" t="n">
        <v>2</v>
      </c>
      <c r="E42" s="6" t="n">
        <f aca="false">IF(AND(B42="injection",C42=1),'Model Parameters'!$C$13,0)</f>
        <v>0</v>
      </c>
      <c r="F42" s="6" t="n">
        <v>2</v>
      </c>
      <c r="G42" s="6" t="s">
        <v>59</v>
      </c>
    </row>
    <row r="43" customFormat="false" ht="34.5" hidden="false" customHeight="true" outlineLevel="0" collapsed="false">
      <c r="A43" s="6" t="s">
        <v>97</v>
      </c>
      <c r="B43" s="6" t="s">
        <v>58</v>
      </c>
      <c r="C43" s="6" t="b">
        <f aca="false">--ISNUMBER(SEARCH(A43,LOWER(Inputs!$B$5&amp;" "&amp;Inputs!$B$6)))</f>
        <v>1</v>
      </c>
      <c r="D43" s="6" t="n">
        <v>2</v>
      </c>
      <c r="E43" s="6" t="n">
        <f aca="false">IF(AND(B43="injection",C43=1),'Model Parameters'!$C$13,0)</f>
        <v>0</v>
      </c>
      <c r="F43" s="6" t="n">
        <v>2</v>
      </c>
      <c r="G43" s="6" t="s">
        <v>59</v>
      </c>
    </row>
    <row r="44" customFormat="false" ht="34.5" hidden="false" customHeight="true" outlineLevel="0" collapsed="false">
      <c r="A44" s="6" t="s">
        <v>98</v>
      </c>
      <c r="B44" s="6" t="s">
        <v>58</v>
      </c>
      <c r="C44" s="6" t="b">
        <f aca="false">--ISNUMBER(SEARCH(A44,LOWER(Inputs!$B$5&amp;" "&amp;Inputs!$B$6)))</f>
        <v>0</v>
      </c>
      <c r="D44" s="6" t="n">
        <f aca="false">IF(AND(B44="fraud",C44=1),'Model Parameters'!$B$13,0)</f>
        <v>0</v>
      </c>
      <c r="E44" s="6" t="n">
        <f aca="false">IF(AND(B44="injection",C44=1),'Model Parameters'!$C$13,0)</f>
        <v>0</v>
      </c>
      <c r="F44" s="6" t="n">
        <f aca="false">IF(C44=1,IF(B44="fraud",'Model Parameters'!$B$13,'Model Parameters'!$C$13),0)</f>
        <v>0</v>
      </c>
      <c r="G44" s="6" t="s">
        <v>59</v>
      </c>
    </row>
    <row r="45" customFormat="false" ht="34.5" hidden="false" customHeight="true" outlineLevel="0" collapsed="false">
      <c r="A45" s="6" t="s">
        <v>99</v>
      </c>
      <c r="B45" s="6" t="s">
        <v>58</v>
      </c>
      <c r="C45" s="6" t="b">
        <f aca="false">--ISNUMBER(SEARCH(A45,LOWER(Inputs!$B$5&amp;" "&amp;Inputs!$B$6)))</f>
        <v>0</v>
      </c>
      <c r="D45" s="6" t="n">
        <f aca="false">IF(AND(B45="fraud",C45=1),'Model Parameters'!$B$13,0)</f>
        <v>0</v>
      </c>
      <c r="E45" s="6" t="n">
        <f aca="false">IF(AND(B45="injection",C45=1),'Model Parameters'!$C$13,0)</f>
        <v>0</v>
      </c>
      <c r="F45" s="6" t="n">
        <f aca="false">IF(C45=1,IF(B45="fraud",'Model Parameters'!$B$13,'Model Parameters'!$C$13),0)</f>
        <v>0</v>
      </c>
      <c r="G45" s="6" t="s">
        <v>59</v>
      </c>
    </row>
    <row r="46" customFormat="false" ht="34.5" hidden="false" customHeight="true" outlineLevel="0" collapsed="false">
      <c r="A46" s="6" t="s">
        <v>100</v>
      </c>
      <c r="B46" s="6" t="s">
        <v>58</v>
      </c>
      <c r="C46" s="6" t="b">
        <f aca="false">--ISNUMBER(SEARCH(A46,LOWER(Inputs!$B$5&amp;" "&amp;Inputs!$B$6)))</f>
        <v>0</v>
      </c>
      <c r="D46" s="6" t="n">
        <f aca="false">IF(AND(B46="fraud",C46=1),'Model Parameters'!$B$13,0)</f>
        <v>0</v>
      </c>
      <c r="E46" s="6" t="n">
        <f aca="false">IF(AND(B46="injection",C46=1),'Model Parameters'!$C$13,0)</f>
        <v>0</v>
      </c>
      <c r="F46" s="6" t="n">
        <f aca="false">IF(C46=1,IF(B46="fraud",'Model Parameters'!$B$13,'Model Parameters'!$C$13),0)</f>
        <v>0</v>
      </c>
      <c r="G46" s="6" t="s">
        <v>59</v>
      </c>
    </row>
    <row r="47" customFormat="false" ht="34.5" hidden="false" customHeight="true" outlineLevel="0" collapsed="false">
      <c r="A47" s="6" t="s">
        <v>101</v>
      </c>
      <c r="B47" s="6" t="s">
        <v>58</v>
      </c>
      <c r="C47" s="6" t="b">
        <f aca="false">--ISNUMBER(SEARCH(A47,LOWER(Inputs!$B$5&amp;" "&amp;Inputs!$B$6)))</f>
        <v>0</v>
      </c>
      <c r="D47" s="6" t="n">
        <f aca="false">IF(AND(B47="fraud",C47=1),'Model Parameters'!$B$13,0)</f>
        <v>0</v>
      </c>
      <c r="E47" s="6" t="n">
        <f aca="false">IF(AND(B47="injection",C47=1),'Model Parameters'!$C$13,0)</f>
        <v>0</v>
      </c>
      <c r="F47" s="6" t="n">
        <f aca="false">IF(C47=1,IF(B47="fraud",'Model Parameters'!$B$13,'Model Parameters'!$C$13),0)</f>
        <v>0</v>
      </c>
      <c r="G47" s="6" t="s">
        <v>59</v>
      </c>
    </row>
    <row r="48" customFormat="false" ht="34.5" hidden="false" customHeight="true" outlineLevel="0" collapsed="false">
      <c r="A48" s="6" t="s">
        <v>102</v>
      </c>
      <c r="B48" s="6" t="s">
        <v>58</v>
      </c>
      <c r="C48" s="6" t="b">
        <f aca="false">--ISNUMBER(SEARCH(A48,LOWER(Inputs!$B$5&amp;" "&amp;Inputs!$B$6)))</f>
        <v>0</v>
      </c>
      <c r="D48" s="6" t="n">
        <f aca="false">IF(AND(B48="fraud",C48=1),'Model Parameters'!$B$13,0)</f>
        <v>0</v>
      </c>
      <c r="E48" s="6" t="n">
        <f aca="false">IF(AND(B48="injection",C48=1),'Model Parameters'!$C$13,0)</f>
        <v>0</v>
      </c>
      <c r="F48" s="6" t="n">
        <f aca="false">IF(C48=1,IF(B48="fraud",'Model Parameters'!$B$13,'Model Parameters'!$C$13),0)</f>
        <v>0</v>
      </c>
      <c r="G48" s="6" t="s">
        <v>59</v>
      </c>
    </row>
    <row r="49" customFormat="false" ht="34.5" hidden="false" customHeight="true" outlineLevel="0" collapsed="false">
      <c r="A49" s="6" t="s">
        <v>103</v>
      </c>
      <c r="B49" s="6" t="s">
        <v>58</v>
      </c>
      <c r="C49" s="6" t="b">
        <f aca="false">--ISNUMBER(SEARCH(A49,LOWER(Inputs!$B$5&amp;" "&amp;Inputs!$B$6)))</f>
        <v>0</v>
      </c>
      <c r="D49" s="6" t="n">
        <f aca="false">IF(AND(B49="fraud",C49=1),'Model Parameters'!$B$13,0)</f>
        <v>0</v>
      </c>
      <c r="E49" s="6" t="n">
        <f aca="false">IF(AND(B49="injection",C49=1),'Model Parameters'!$C$13,0)</f>
        <v>0</v>
      </c>
      <c r="F49" s="6" t="n">
        <f aca="false">IF(C49=1,IF(B49="fraud",'Model Parameters'!$B$13,'Model Parameters'!$C$13),0)</f>
        <v>0</v>
      </c>
      <c r="G49" s="6" t="s">
        <v>59</v>
      </c>
    </row>
    <row r="50" customFormat="false" ht="34.5" hidden="false" customHeight="true" outlineLevel="0" collapsed="false">
      <c r="A50" s="6" t="s">
        <v>104</v>
      </c>
      <c r="B50" s="6" t="s">
        <v>58</v>
      </c>
      <c r="C50" s="6" t="b">
        <f aca="false">--ISNUMBER(SEARCH(A50,LOWER(Inputs!$B$5&amp;" "&amp;Inputs!$B$6)))</f>
        <v>0</v>
      </c>
      <c r="D50" s="6" t="n">
        <f aca="false">IF(AND(B50="fraud",C50=1),'Model Parameters'!$B$13,0)</f>
        <v>0</v>
      </c>
      <c r="E50" s="6" t="n">
        <f aca="false">IF(AND(B50="injection",C50=1),'Model Parameters'!$C$13,0)</f>
        <v>0</v>
      </c>
      <c r="F50" s="6" t="n">
        <f aca="false">IF(C50=1,IF(B50="fraud",'Model Parameters'!$B$13,'Model Parameters'!$C$13),0)</f>
        <v>0</v>
      </c>
      <c r="G50" s="6" t="s">
        <v>59</v>
      </c>
    </row>
    <row r="51" customFormat="false" ht="34.5" hidden="false" customHeight="true" outlineLevel="0" collapsed="false">
      <c r="A51" s="6" t="s">
        <v>105</v>
      </c>
      <c r="B51" s="6" t="s">
        <v>58</v>
      </c>
      <c r="C51" s="6" t="b">
        <f aca="false">--ISNUMBER(SEARCH(A51,LOWER(Inputs!$B$5&amp;" "&amp;Inputs!$B$6)))</f>
        <v>0</v>
      </c>
      <c r="D51" s="6" t="n">
        <f aca="false">IF(AND(B51="fraud",C51=1),'Model Parameters'!$B$13,0)</f>
        <v>0</v>
      </c>
      <c r="E51" s="6" t="n">
        <f aca="false">IF(AND(B51="injection",C51=1),'Model Parameters'!$C$13,0)</f>
        <v>0</v>
      </c>
      <c r="F51" s="6" t="n">
        <f aca="false">IF(C51=1,IF(B51="fraud",'Model Parameters'!$B$13,'Model Parameters'!$C$13),0)</f>
        <v>0</v>
      </c>
      <c r="G51" s="6" t="s">
        <v>59</v>
      </c>
    </row>
    <row r="52" customFormat="false" ht="34.5" hidden="false" customHeight="true" outlineLevel="0" collapsed="false">
      <c r="A52" s="6" t="s">
        <v>106</v>
      </c>
      <c r="B52" s="6" t="s">
        <v>58</v>
      </c>
      <c r="C52" s="6" t="b">
        <f aca="false">--ISNUMBER(SEARCH(A52,LOWER(Inputs!$B$5&amp;" "&amp;Inputs!$B$6)))</f>
        <v>0</v>
      </c>
      <c r="D52" s="6" t="n">
        <f aca="false">IF(AND(B52="fraud",C52=1),'Model Parameters'!$B$13,0)</f>
        <v>0</v>
      </c>
      <c r="E52" s="6" t="n">
        <f aca="false">IF(AND(B52="injection",C52=1),'Model Parameters'!$C$13,0)</f>
        <v>0</v>
      </c>
      <c r="F52" s="6" t="n">
        <f aca="false">IF(C52=1,IF(B52="fraud",'Model Parameters'!$B$13,'Model Parameters'!$C$13),0)</f>
        <v>0</v>
      </c>
      <c r="G52" s="6" t="s">
        <v>59</v>
      </c>
    </row>
    <row r="53" customFormat="false" ht="34.5" hidden="false" customHeight="true" outlineLevel="0" collapsed="false">
      <c r="A53" s="6" t="s">
        <v>107</v>
      </c>
      <c r="B53" s="6" t="s">
        <v>58</v>
      </c>
      <c r="C53" s="6" t="b">
        <f aca="false">--ISNUMBER(SEARCH(A53,LOWER(Inputs!$B$5&amp;" "&amp;Inputs!$B$6)))</f>
        <v>0</v>
      </c>
      <c r="D53" s="6" t="n">
        <f aca="false">IF(AND(B53="fraud",C53=1),'Model Parameters'!$B$13,0)</f>
        <v>0</v>
      </c>
      <c r="E53" s="6" t="n">
        <f aca="false">IF(AND(B53="injection",C53=1),'Model Parameters'!$C$13,0)</f>
        <v>0</v>
      </c>
      <c r="F53" s="6" t="n">
        <f aca="false">IF(C53=1,IF(B53="fraud",'Model Parameters'!$B$13,'Model Parameters'!$C$13),0)</f>
        <v>0</v>
      </c>
      <c r="G53" s="6" t="s">
        <v>59</v>
      </c>
    </row>
    <row r="54" customFormat="false" ht="34.5" hidden="false" customHeight="true" outlineLevel="0" collapsed="false">
      <c r="A54" s="6" t="s">
        <v>108</v>
      </c>
      <c r="B54" s="6" t="s">
        <v>58</v>
      </c>
      <c r="C54" s="6" t="b">
        <f aca="false">--ISNUMBER(SEARCH(A54,LOWER(Inputs!$B$5&amp;" "&amp;Inputs!$B$6)))</f>
        <v>0</v>
      </c>
      <c r="D54" s="6" t="n">
        <f aca="false">IF(AND(B54="fraud",C54=1),'Model Parameters'!$B$13,0)</f>
        <v>0</v>
      </c>
      <c r="E54" s="6" t="n">
        <f aca="false">IF(AND(B54="injection",C54=1),'Model Parameters'!$C$13,0)</f>
        <v>0</v>
      </c>
      <c r="F54" s="6" t="n">
        <f aca="false">IF(C54=1,IF(B54="fraud",'Model Parameters'!$B$13,'Model Parameters'!$C$13),0)</f>
        <v>0</v>
      </c>
      <c r="G54" s="6" t="s">
        <v>59</v>
      </c>
    </row>
    <row r="55" customFormat="false" ht="34.5" hidden="false" customHeight="true" outlineLevel="0" collapsed="false">
      <c r="A55" s="6" t="s">
        <v>109</v>
      </c>
      <c r="B55" s="6" t="s">
        <v>58</v>
      </c>
      <c r="C55" s="6" t="b">
        <f aca="false">--ISNUMBER(SEARCH(A55,LOWER(Inputs!$B$5&amp;" "&amp;Inputs!$B$6)))</f>
        <v>0</v>
      </c>
      <c r="D55" s="6" t="n">
        <f aca="false">IF(AND(B55="fraud",C55=1),'Model Parameters'!$B$13,0)</f>
        <v>0</v>
      </c>
      <c r="E55" s="6" t="n">
        <f aca="false">IF(AND(B55="injection",C55=1),'Model Parameters'!$C$13,0)</f>
        <v>0</v>
      </c>
      <c r="F55" s="6" t="n">
        <f aca="false">IF(C55=1,IF(B55="fraud",'Model Parameters'!$B$13,'Model Parameters'!$C$13),0)</f>
        <v>0</v>
      </c>
      <c r="G55" s="6" t="s">
        <v>59</v>
      </c>
    </row>
    <row r="56" customFormat="false" ht="34.5" hidden="false" customHeight="true" outlineLevel="0" collapsed="false">
      <c r="A56" s="6" t="s">
        <v>110</v>
      </c>
      <c r="B56" s="6" t="s">
        <v>58</v>
      </c>
      <c r="C56" s="6" t="b">
        <f aca="false">--ISNUMBER(SEARCH(A56,LOWER(Inputs!$B$5&amp;" "&amp;Inputs!$B$6)))</f>
        <v>1</v>
      </c>
      <c r="D56" s="6" t="n">
        <v>2</v>
      </c>
      <c r="E56" s="6" t="n">
        <f aca="false">IF(AND(B56="injection",C56=1),'Model Parameters'!$C$13,0)</f>
        <v>0</v>
      </c>
      <c r="F56" s="6" t="n">
        <v>2</v>
      </c>
      <c r="G56" s="6" t="s">
        <v>59</v>
      </c>
    </row>
    <row r="57" customFormat="false" ht="34.5" hidden="false" customHeight="true" outlineLevel="0" collapsed="false">
      <c r="A57" s="6" t="s">
        <v>111</v>
      </c>
      <c r="B57" s="6" t="s">
        <v>58</v>
      </c>
      <c r="C57" s="6" t="b">
        <f aca="false">--ISNUMBER(SEARCH(A57,LOWER(Inputs!$B$5&amp;" "&amp;Inputs!$B$6)))</f>
        <v>0</v>
      </c>
      <c r="D57" s="6" t="n">
        <f aca="false">IF(AND(B57="fraud",C57=1),'Model Parameters'!$B$13,0)</f>
        <v>0</v>
      </c>
      <c r="E57" s="6" t="n">
        <f aca="false">IF(AND(B57="injection",C57=1),'Model Parameters'!$C$13,0)</f>
        <v>0</v>
      </c>
      <c r="F57" s="6" t="n">
        <f aca="false">IF(C57=1,IF(B57="fraud",'Model Parameters'!$B$13,'Model Parameters'!$C$13),0)</f>
        <v>0</v>
      </c>
      <c r="G57" s="6" t="s">
        <v>59</v>
      </c>
    </row>
    <row r="58" customFormat="false" ht="34.5" hidden="false" customHeight="true" outlineLevel="0" collapsed="false">
      <c r="A58" s="6" t="s">
        <v>112</v>
      </c>
      <c r="B58" s="6" t="s">
        <v>58</v>
      </c>
      <c r="C58" s="6" t="b">
        <f aca="false">--ISNUMBER(SEARCH(A58,LOWER(Inputs!$B$5&amp;" "&amp;Inputs!$B$6)))</f>
        <v>0</v>
      </c>
      <c r="D58" s="6" t="n">
        <f aca="false">IF(AND(B58="fraud",C58=1),'Model Parameters'!$B$13,0)</f>
        <v>0</v>
      </c>
      <c r="E58" s="6" t="n">
        <f aca="false">IF(AND(B58="injection",C58=1),'Model Parameters'!$C$13,0)</f>
        <v>0</v>
      </c>
      <c r="F58" s="6" t="n">
        <f aca="false">IF(C58=1,IF(B58="fraud",'Model Parameters'!$B$13,'Model Parameters'!$C$13),0)</f>
        <v>0</v>
      </c>
      <c r="G58" s="6" t="s">
        <v>59</v>
      </c>
    </row>
    <row r="59" customFormat="false" ht="34.5" hidden="false" customHeight="true" outlineLevel="0" collapsed="false">
      <c r="A59" s="6" t="s">
        <v>113</v>
      </c>
      <c r="B59" s="6" t="s">
        <v>58</v>
      </c>
      <c r="C59" s="6" t="b">
        <f aca="false">--ISNUMBER(SEARCH(A59,LOWER(Inputs!$B$5&amp;" "&amp;Inputs!$B$6)))</f>
        <v>1</v>
      </c>
      <c r="D59" s="6" t="n">
        <v>2</v>
      </c>
      <c r="E59" s="6" t="n">
        <f aca="false">IF(AND(B59="injection",C59=1),'Model Parameters'!$C$13,0)</f>
        <v>0</v>
      </c>
      <c r="F59" s="6" t="n">
        <v>2</v>
      </c>
      <c r="G59" s="6" t="s">
        <v>59</v>
      </c>
    </row>
    <row r="60" customFormat="false" ht="34.5" hidden="false" customHeight="true" outlineLevel="0" collapsed="false">
      <c r="A60" s="6" t="s">
        <v>114</v>
      </c>
      <c r="B60" s="6" t="s">
        <v>58</v>
      </c>
      <c r="C60" s="6" t="b">
        <f aca="false">--ISNUMBER(SEARCH(A60,LOWER(Inputs!$B$5&amp;" "&amp;Inputs!$B$6)))</f>
        <v>0</v>
      </c>
      <c r="D60" s="6" t="n">
        <f aca="false">IF(AND(B60="fraud",C60=1),'Model Parameters'!$B$13,0)</f>
        <v>0</v>
      </c>
      <c r="E60" s="6" t="n">
        <f aca="false">IF(AND(B60="injection",C60=1),'Model Parameters'!$C$13,0)</f>
        <v>0</v>
      </c>
      <c r="F60" s="6" t="n">
        <f aca="false">IF(C60=1,IF(B60="fraud",'Model Parameters'!$B$13,'Model Parameters'!$C$13),0)</f>
        <v>0</v>
      </c>
      <c r="G60" s="6" t="s">
        <v>59</v>
      </c>
    </row>
    <row r="61" customFormat="false" ht="34.5" hidden="false" customHeight="true" outlineLevel="0" collapsed="false">
      <c r="A61" s="6" t="s">
        <v>115</v>
      </c>
      <c r="B61" s="6" t="s">
        <v>58</v>
      </c>
      <c r="C61" s="6" t="b">
        <f aca="false">--ISNUMBER(SEARCH(A61,LOWER(Inputs!$B$5&amp;" "&amp;Inputs!$B$6)))</f>
        <v>0</v>
      </c>
      <c r="D61" s="6" t="n">
        <f aca="false">IF(AND(B61="fraud",C61=1),'Model Parameters'!$B$13,0)</f>
        <v>0</v>
      </c>
      <c r="E61" s="6" t="n">
        <f aca="false">IF(AND(B61="injection",C61=1),'Model Parameters'!$C$13,0)</f>
        <v>0</v>
      </c>
      <c r="F61" s="6" t="n">
        <f aca="false">IF(C61=1,IF(B61="fraud",'Model Parameters'!$B$13,'Model Parameters'!$C$13),0)</f>
        <v>0</v>
      </c>
      <c r="G61" s="6" t="s">
        <v>59</v>
      </c>
    </row>
    <row r="62" customFormat="false" ht="34.5" hidden="false" customHeight="true" outlineLevel="0" collapsed="false">
      <c r="A62" s="6" t="s">
        <v>116</v>
      </c>
      <c r="B62" s="6" t="s">
        <v>58</v>
      </c>
      <c r="C62" s="6" t="b">
        <f aca="false">--ISNUMBER(SEARCH(A62,LOWER(Inputs!$B$5&amp;" "&amp;Inputs!$B$6)))</f>
        <v>1</v>
      </c>
      <c r="D62" s="6" t="n">
        <v>2</v>
      </c>
      <c r="E62" s="6" t="n">
        <f aca="false">IF(AND(B62="injection",C62=1),'Model Parameters'!$C$13,0)</f>
        <v>0</v>
      </c>
      <c r="F62" s="6" t="n">
        <v>2</v>
      </c>
      <c r="G62" s="6" t="s">
        <v>59</v>
      </c>
    </row>
    <row r="63" customFormat="false" ht="34.5" hidden="false" customHeight="true" outlineLevel="0" collapsed="false">
      <c r="A63" s="6" t="s">
        <v>117</v>
      </c>
      <c r="B63" s="6" t="s">
        <v>58</v>
      </c>
      <c r="C63" s="6" t="b">
        <f aca="false">--ISNUMBER(SEARCH(A63,LOWER(Inputs!$B$5&amp;" "&amp;Inputs!$B$6)))</f>
        <v>0</v>
      </c>
      <c r="D63" s="6" t="n">
        <f aca="false">IF(AND(B63="fraud",C63=1),'Model Parameters'!$B$13,0)</f>
        <v>0</v>
      </c>
      <c r="E63" s="6" t="n">
        <f aca="false">IF(AND(B63="injection",C63=1),'Model Parameters'!$C$13,0)</f>
        <v>0</v>
      </c>
      <c r="F63" s="6" t="n">
        <f aca="false">IF(C63=1,IF(B63="fraud",'Model Parameters'!$B$13,'Model Parameters'!$C$13),0)</f>
        <v>0</v>
      </c>
      <c r="G63" s="6" t="s">
        <v>59</v>
      </c>
    </row>
    <row r="64" customFormat="false" ht="34.5" hidden="false" customHeight="true" outlineLevel="0" collapsed="false">
      <c r="A64" s="6" t="s">
        <v>118</v>
      </c>
      <c r="B64" s="6" t="s">
        <v>58</v>
      </c>
      <c r="C64" s="6" t="b">
        <f aca="false">--ISNUMBER(SEARCH(A64,LOWER(Inputs!$B$5&amp;" "&amp;Inputs!$B$6)))</f>
        <v>0</v>
      </c>
      <c r="D64" s="6" t="n">
        <f aca="false">IF(AND(B64="fraud",C64=1),'Model Parameters'!$B$13,0)</f>
        <v>0</v>
      </c>
      <c r="E64" s="6" t="n">
        <f aca="false">IF(AND(B64="injection",C64=1),'Model Parameters'!$C$13,0)</f>
        <v>0</v>
      </c>
      <c r="F64" s="6" t="n">
        <f aca="false">IF(C64=1,IF(B64="fraud",'Model Parameters'!$B$13,'Model Parameters'!$C$13),0)</f>
        <v>0</v>
      </c>
      <c r="G64" s="6" t="s">
        <v>59</v>
      </c>
    </row>
    <row r="65" customFormat="false" ht="34.5" hidden="false" customHeight="true" outlineLevel="0" collapsed="false">
      <c r="A65" s="6" t="s">
        <v>119</v>
      </c>
      <c r="B65" s="6" t="s">
        <v>58</v>
      </c>
      <c r="C65" s="6" t="b">
        <f aca="false">--ISNUMBER(SEARCH(A65,LOWER(Inputs!$B$5&amp;" "&amp;Inputs!$B$6)))</f>
        <v>0</v>
      </c>
      <c r="D65" s="6" t="n">
        <f aca="false">IF(AND(B65="fraud",C65=1),'Model Parameters'!$B$13,0)</f>
        <v>0</v>
      </c>
      <c r="E65" s="6" t="n">
        <f aca="false">IF(AND(B65="injection",C65=1),'Model Parameters'!$C$13,0)</f>
        <v>0</v>
      </c>
      <c r="F65" s="6" t="n">
        <f aca="false">IF(C65=1,IF(B65="fraud",'Model Parameters'!$B$13,'Model Parameters'!$C$13),0)</f>
        <v>0</v>
      </c>
      <c r="G65" s="6" t="s">
        <v>59</v>
      </c>
    </row>
    <row r="66" customFormat="false" ht="34.5" hidden="false" customHeight="true" outlineLevel="0" collapsed="false">
      <c r="A66" s="6" t="s">
        <v>120</v>
      </c>
      <c r="B66" s="6" t="s">
        <v>58</v>
      </c>
      <c r="C66" s="6" t="b">
        <f aca="false">--ISNUMBER(SEARCH(A66,LOWER(Inputs!$B$5&amp;" "&amp;Inputs!$B$6)))</f>
        <v>0</v>
      </c>
      <c r="D66" s="6" t="n">
        <f aca="false">IF(AND(B66="fraud",C66=1),'Model Parameters'!$B$13,0)</f>
        <v>0</v>
      </c>
      <c r="E66" s="6" t="n">
        <f aca="false">IF(AND(B66="injection",C66=1),'Model Parameters'!$C$13,0)</f>
        <v>0</v>
      </c>
      <c r="F66" s="6" t="n">
        <f aca="false">IF(C66=1,IF(B66="fraud",'Model Parameters'!$B$13,'Model Parameters'!$C$13),0)</f>
        <v>0</v>
      </c>
      <c r="G66" s="6" t="s">
        <v>59</v>
      </c>
    </row>
    <row r="67" customFormat="false" ht="34.5" hidden="false" customHeight="true" outlineLevel="0" collapsed="false">
      <c r="A67" s="6" t="s">
        <v>121</v>
      </c>
      <c r="B67" s="6" t="s">
        <v>58</v>
      </c>
      <c r="C67" s="6" t="b">
        <f aca="false">--ISNUMBER(SEARCH(A67,LOWER(Inputs!$B$5&amp;" "&amp;Inputs!$B$6)))</f>
        <v>0</v>
      </c>
      <c r="D67" s="6" t="n">
        <f aca="false">IF(AND(B67="fraud",C67=1),'Model Parameters'!$B$13,0)</f>
        <v>0</v>
      </c>
      <c r="E67" s="6" t="n">
        <f aca="false">IF(AND(B67="injection",C67=1),'Model Parameters'!$C$13,0)</f>
        <v>0</v>
      </c>
      <c r="F67" s="6" t="n">
        <f aca="false">IF(C67=1,IF(B67="fraud",'Model Parameters'!$B$13,'Model Parameters'!$C$13),0)</f>
        <v>0</v>
      </c>
      <c r="G67" s="6" t="s">
        <v>59</v>
      </c>
    </row>
    <row r="68" customFormat="false" ht="34.5" hidden="false" customHeight="true" outlineLevel="0" collapsed="false">
      <c r="A68" s="6" t="s">
        <v>122</v>
      </c>
      <c r="B68" s="6" t="s">
        <v>58</v>
      </c>
      <c r="C68" s="6" t="b">
        <f aca="false">--ISNUMBER(SEARCH(A68,LOWER(Inputs!$B$5&amp;" "&amp;Inputs!$B$6)))</f>
        <v>0</v>
      </c>
      <c r="D68" s="6" t="n">
        <f aca="false">IF(AND(B68="fraud",C68=1),'Model Parameters'!$B$13,0)</f>
        <v>0</v>
      </c>
      <c r="E68" s="6" t="n">
        <f aca="false">IF(AND(B68="injection",C68=1),'Model Parameters'!$C$13,0)</f>
        <v>0</v>
      </c>
      <c r="F68" s="6" t="n">
        <f aca="false">IF(C68=1,IF(B68="fraud",'Model Parameters'!$B$13,'Model Parameters'!$C$13),0)</f>
        <v>0</v>
      </c>
      <c r="G68" s="6" t="s">
        <v>59</v>
      </c>
    </row>
    <row r="69" customFormat="false" ht="34.5" hidden="false" customHeight="true" outlineLevel="0" collapsed="false">
      <c r="A69" s="6" t="s">
        <v>123</v>
      </c>
      <c r="B69" s="6" t="s">
        <v>58</v>
      </c>
      <c r="C69" s="6" t="b">
        <f aca="false">--ISNUMBER(SEARCH(A69,LOWER(Inputs!$B$5&amp;" "&amp;Inputs!$B$6)))</f>
        <v>0</v>
      </c>
      <c r="D69" s="6" t="n">
        <f aca="false">IF(AND(B69="fraud",C69=1),'Model Parameters'!$B$13,0)</f>
        <v>0</v>
      </c>
      <c r="E69" s="6" t="n">
        <f aca="false">IF(AND(B69="injection",C69=1),'Model Parameters'!$C$13,0)</f>
        <v>0</v>
      </c>
      <c r="F69" s="6" t="n">
        <f aca="false">IF(C69=1,IF(B69="fraud",'Model Parameters'!$B$13,'Model Parameters'!$C$13),0)</f>
        <v>0</v>
      </c>
      <c r="G69" s="6" t="s">
        <v>59</v>
      </c>
    </row>
    <row r="70" customFormat="false" ht="34.5" hidden="false" customHeight="true" outlineLevel="0" collapsed="false">
      <c r="A70" s="6" t="s">
        <v>124</v>
      </c>
      <c r="B70" s="6" t="s">
        <v>58</v>
      </c>
      <c r="C70" s="6" t="b">
        <f aca="false">--ISNUMBER(SEARCH(A70,LOWER(Inputs!$B$5&amp;" "&amp;Inputs!$B$6)))</f>
        <v>1</v>
      </c>
      <c r="D70" s="6" t="n">
        <v>2</v>
      </c>
      <c r="E70" s="6" t="n">
        <f aca="false">IF(AND(B70="injection",C70=1),'Model Parameters'!$C$13,0)</f>
        <v>0</v>
      </c>
      <c r="F70" s="6" t="n">
        <v>2</v>
      </c>
      <c r="G70" s="6" t="s">
        <v>59</v>
      </c>
    </row>
    <row r="71" customFormat="false" ht="34.5" hidden="false" customHeight="true" outlineLevel="0" collapsed="false">
      <c r="A71" s="6" t="s">
        <v>125</v>
      </c>
      <c r="B71" s="6" t="s">
        <v>58</v>
      </c>
      <c r="C71" s="6" t="b">
        <f aca="false">--ISNUMBER(SEARCH(A71,LOWER(Inputs!$B$5&amp;" "&amp;Inputs!$B$6)))</f>
        <v>0</v>
      </c>
      <c r="D71" s="6" t="n">
        <f aca="false">IF(AND(B71="fraud",C71=1),'Model Parameters'!$B$13,0)</f>
        <v>0</v>
      </c>
      <c r="E71" s="6" t="n">
        <f aca="false">IF(AND(B71="injection",C71=1),'Model Parameters'!$C$13,0)</f>
        <v>0</v>
      </c>
      <c r="F71" s="6" t="n">
        <f aca="false">IF(C71=1,IF(B71="fraud",'Model Parameters'!$B$13,'Model Parameters'!$C$13),0)</f>
        <v>0</v>
      </c>
      <c r="G71" s="6" t="s">
        <v>59</v>
      </c>
    </row>
    <row r="72" customFormat="false" ht="34.5" hidden="false" customHeight="true" outlineLevel="0" collapsed="false">
      <c r="A72" s="6" t="s">
        <v>126</v>
      </c>
      <c r="B72" s="6" t="s">
        <v>58</v>
      </c>
      <c r="C72" s="6" t="b">
        <f aca="false">--ISNUMBER(SEARCH(A72,LOWER(Inputs!$B$5&amp;" "&amp;Inputs!$B$6)))</f>
        <v>0</v>
      </c>
      <c r="D72" s="6" t="n">
        <f aca="false">IF(AND(B72="fraud",C72=1),'Model Parameters'!$B$13,0)</f>
        <v>0</v>
      </c>
      <c r="E72" s="6" t="n">
        <f aca="false">IF(AND(B72="injection",C72=1),'Model Parameters'!$C$13,0)</f>
        <v>0</v>
      </c>
      <c r="F72" s="6" t="n">
        <f aca="false">IF(C72=1,IF(B72="fraud",'Model Parameters'!$B$13,'Model Parameters'!$C$13),0)</f>
        <v>0</v>
      </c>
      <c r="G72" s="6" t="s">
        <v>59</v>
      </c>
    </row>
    <row r="73" customFormat="false" ht="34.5" hidden="false" customHeight="true" outlineLevel="0" collapsed="false">
      <c r="A73" s="6" t="s">
        <v>127</v>
      </c>
      <c r="B73" s="6" t="s">
        <v>58</v>
      </c>
      <c r="C73" s="6" t="b">
        <f aca="false">--ISNUMBER(SEARCH(A73,LOWER(Inputs!$B$5&amp;" "&amp;Inputs!$B$6)))</f>
        <v>0</v>
      </c>
      <c r="D73" s="6" t="n">
        <f aca="false">IF(AND(B73="fraud",C73=1),'Model Parameters'!$B$13,0)</f>
        <v>0</v>
      </c>
      <c r="E73" s="6" t="n">
        <f aca="false">IF(AND(B73="injection",C73=1),'Model Parameters'!$C$13,0)</f>
        <v>0</v>
      </c>
      <c r="F73" s="6" t="n">
        <f aca="false">IF(C73=1,IF(B73="fraud",'Model Parameters'!$B$13,'Model Parameters'!$C$13),0)</f>
        <v>0</v>
      </c>
      <c r="G73" s="6" t="s">
        <v>59</v>
      </c>
    </row>
    <row r="74" customFormat="false" ht="34.5" hidden="false" customHeight="true" outlineLevel="0" collapsed="false">
      <c r="A74" s="6" t="s">
        <v>128</v>
      </c>
      <c r="B74" s="6" t="s">
        <v>58</v>
      </c>
      <c r="C74" s="6" t="b">
        <f aca="false">--ISNUMBER(SEARCH(A74,LOWER(Inputs!$B$5&amp;" "&amp;Inputs!$B$6)))</f>
        <v>0</v>
      </c>
      <c r="D74" s="6" t="n">
        <f aca="false">IF(AND(B74="fraud",C74=1),'Model Parameters'!$B$13,0)</f>
        <v>0</v>
      </c>
      <c r="E74" s="6" t="n">
        <f aca="false">IF(AND(B74="injection",C74=1),'Model Parameters'!$C$13,0)</f>
        <v>0</v>
      </c>
      <c r="F74" s="6" t="n">
        <f aca="false">IF(C74=1,IF(B74="fraud",'Model Parameters'!$B$13,'Model Parameters'!$C$13),0)</f>
        <v>0</v>
      </c>
      <c r="G74" s="6" t="s">
        <v>59</v>
      </c>
    </row>
    <row r="75" customFormat="false" ht="34.5" hidden="false" customHeight="true" outlineLevel="0" collapsed="false">
      <c r="A75" s="6" t="s">
        <v>129</v>
      </c>
      <c r="B75" s="6" t="s">
        <v>58</v>
      </c>
      <c r="C75" s="6" t="b">
        <f aca="false">--ISNUMBER(SEARCH(A75,LOWER(Inputs!$B$5&amp;" "&amp;Inputs!$B$6)))</f>
        <v>0</v>
      </c>
      <c r="D75" s="6" t="n">
        <f aca="false">IF(AND(B75="fraud",C75=1),'Model Parameters'!$B$13,0)</f>
        <v>0</v>
      </c>
      <c r="E75" s="6" t="n">
        <f aca="false">IF(AND(B75="injection",C75=1),'Model Parameters'!$C$13,0)</f>
        <v>0</v>
      </c>
      <c r="F75" s="6" t="n">
        <f aca="false">IF(C75=1,IF(B75="fraud",'Model Parameters'!$B$13,'Model Parameters'!$C$13),0)</f>
        <v>0</v>
      </c>
      <c r="G75" s="6" t="s">
        <v>59</v>
      </c>
    </row>
    <row r="76" customFormat="false" ht="34.5" hidden="false" customHeight="true" outlineLevel="0" collapsed="false">
      <c r="A76" s="6" t="s">
        <v>130</v>
      </c>
      <c r="B76" s="6" t="s">
        <v>58</v>
      </c>
      <c r="C76" s="6" t="b">
        <f aca="false">--ISNUMBER(SEARCH(A76,LOWER(Inputs!$B$5&amp;" "&amp;Inputs!$B$6)))</f>
        <v>0</v>
      </c>
      <c r="D76" s="6" t="n">
        <f aca="false">IF(AND(B76="fraud",C76=1),'Model Parameters'!$B$13,0)</f>
        <v>0</v>
      </c>
      <c r="E76" s="6" t="n">
        <f aca="false">IF(AND(B76="injection",C76=1),'Model Parameters'!$C$13,0)</f>
        <v>0</v>
      </c>
      <c r="F76" s="6" t="n">
        <f aca="false">IF(C76=1,IF(B76="fraud",'Model Parameters'!$B$13,'Model Parameters'!$C$13),0)</f>
        <v>0</v>
      </c>
      <c r="G76" s="6" t="s">
        <v>59</v>
      </c>
    </row>
    <row r="77" customFormat="false" ht="34.5" hidden="false" customHeight="true" outlineLevel="0" collapsed="false">
      <c r="A77" s="6" t="s">
        <v>131</v>
      </c>
      <c r="B77" s="6" t="s">
        <v>58</v>
      </c>
      <c r="C77" s="6" t="b">
        <f aca="false">--ISNUMBER(SEARCH(A77,LOWER(Inputs!$B$5&amp;" "&amp;Inputs!$B$6)))</f>
        <v>0</v>
      </c>
      <c r="D77" s="6" t="n">
        <f aca="false">IF(AND(B77="fraud",C77=1),'Model Parameters'!$B$13,0)</f>
        <v>0</v>
      </c>
      <c r="E77" s="6" t="n">
        <f aca="false">IF(AND(B77="injection",C77=1),'Model Parameters'!$C$13,0)</f>
        <v>0</v>
      </c>
      <c r="F77" s="6" t="n">
        <f aca="false">IF(C77=1,IF(B77="fraud",'Model Parameters'!$B$13,'Model Parameters'!$C$13),0)</f>
        <v>0</v>
      </c>
      <c r="G77" s="6" t="s">
        <v>59</v>
      </c>
    </row>
    <row r="78" customFormat="false" ht="34.5" hidden="false" customHeight="true" outlineLevel="0" collapsed="false">
      <c r="A78" s="6" t="s">
        <v>132</v>
      </c>
      <c r="B78" s="6" t="s">
        <v>58</v>
      </c>
      <c r="C78" s="6" t="b">
        <f aca="false">--ISNUMBER(SEARCH(A78,LOWER(Inputs!$B$5&amp;" "&amp;Inputs!$B$6)))</f>
        <v>0</v>
      </c>
      <c r="D78" s="6" t="n">
        <f aca="false">IF(AND(B78="fraud",C78=1),'Model Parameters'!$B$13,0)</f>
        <v>0</v>
      </c>
      <c r="E78" s="6" t="n">
        <f aca="false">IF(AND(B78="injection",C78=1),'Model Parameters'!$C$13,0)</f>
        <v>0</v>
      </c>
      <c r="F78" s="6" t="n">
        <f aca="false">IF(C78=1,IF(B78="fraud",'Model Parameters'!$B$13,'Model Parameters'!$C$13),0)</f>
        <v>0</v>
      </c>
      <c r="G78" s="6" t="s">
        <v>59</v>
      </c>
    </row>
    <row r="79" customFormat="false" ht="34.5" hidden="false" customHeight="true" outlineLevel="0" collapsed="false">
      <c r="A79" s="6" t="s">
        <v>133</v>
      </c>
      <c r="B79" s="6" t="s">
        <v>58</v>
      </c>
      <c r="C79" s="6" t="b">
        <f aca="false">--ISNUMBER(SEARCH(A79,LOWER(Inputs!$B$5&amp;" "&amp;Inputs!$B$6)))</f>
        <v>1</v>
      </c>
      <c r="D79" s="6" t="n">
        <v>2</v>
      </c>
      <c r="E79" s="6" t="n">
        <f aca="false">IF(AND(B79="injection",C79=1),'Model Parameters'!$C$13,0)</f>
        <v>0</v>
      </c>
      <c r="F79" s="6" t="n">
        <v>2</v>
      </c>
      <c r="G79" s="6" t="s">
        <v>59</v>
      </c>
    </row>
    <row r="80" customFormat="false" ht="34.5" hidden="false" customHeight="true" outlineLevel="0" collapsed="false">
      <c r="A80" s="6" t="s">
        <v>134</v>
      </c>
      <c r="B80" s="6" t="s">
        <v>58</v>
      </c>
      <c r="C80" s="6" t="b">
        <f aca="false">--ISNUMBER(SEARCH(A80,LOWER(Inputs!$B$5&amp;" "&amp;Inputs!$B$6)))</f>
        <v>0</v>
      </c>
      <c r="D80" s="6" t="n">
        <f aca="false">IF(AND(B80="fraud",C80=1),'Model Parameters'!$B$13,0)</f>
        <v>0</v>
      </c>
      <c r="E80" s="6" t="n">
        <f aca="false">IF(AND(B80="injection",C80=1),'Model Parameters'!$C$13,0)</f>
        <v>0</v>
      </c>
      <c r="F80" s="6" t="n">
        <f aca="false">IF(C80=1,IF(B80="fraud",'Model Parameters'!$B$13,'Model Parameters'!$C$13),0)</f>
        <v>0</v>
      </c>
      <c r="G80" s="6" t="s">
        <v>59</v>
      </c>
    </row>
    <row r="81" customFormat="false" ht="34.5" hidden="false" customHeight="true" outlineLevel="0" collapsed="false">
      <c r="A81" s="6" t="s">
        <v>135</v>
      </c>
      <c r="B81" s="6" t="s">
        <v>58</v>
      </c>
      <c r="C81" s="6" t="b">
        <f aca="false">--ISNUMBER(SEARCH(A81,LOWER(Inputs!$B$5&amp;" "&amp;Inputs!$B$6)))</f>
        <v>0</v>
      </c>
      <c r="D81" s="6" t="n">
        <f aca="false">IF(AND(B81="fraud",C81=1),'Model Parameters'!$B$13,0)</f>
        <v>0</v>
      </c>
      <c r="E81" s="6" t="n">
        <f aca="false">IF(AND(B81="injection",C81=1),'Model Parameters'!$C$13,0)</f>
        <v>0</v>
      </c>
      <c r="F81" s="6" t="n">
        <f aca="false">IF(C81=1,IF(B81="fraud",'Model Parameters'!$B$13,'Model Parameters'!$C$13),0)</f>
        <v>0</v>
      </c>
      <c r="G81" s="6" t="s">
        <v>59</v>
      </c>
    </row>
    <row r="82" customFormat="false" ht="34.5" hidden="false" customHeight="true" outlineLevel="0" collapsed="false">
      <c r="A82" s="6" t="s">
        <v>136</v>
      </c>
      <c r="B82" s="6" t="s">
        <v>58</v>
      </c>
      <c r="C82" s="6" t="b">
        <f aca="false">--ISNUMBER(SEARCH(A82,LOWER(Inputs!$B$5&amp;" "&amp;Inputs!$B$6)))</f>
        <v>1</v>
      </c>
      <c r="D82" s="6" t="n">
        <v>2</v>
      </c>
      <c r="E82" s="6" t="n">
        <f aca="false">IF(AND(B82="injection",C82=1),'Model Parameters'!$C$13,0)</f>
        <v>0</v>
      </c>
      <c r="F82" s="6" t="n">
        <v>2</v>
      </c>
      <c r="G82" s="6" t="s">
        <v>59</v>
      </c>
    </row>
    <row r="83" customFormat="false" ht="34.5" hidden="false" customHeight="true" outlineLevel="0" collapsed="false">
      <c r="A83" s="6" t="s">
        <v>137</v>
      </c>
      <c r="B83" s="6" t="s">
        <v>58</v>
      </c>
      <c r="C83" s="6" t="b">
        <f aca="false">--ISNUMBER(SEARCH(A83,LOWER(Inputs!$B$5&amp;" "&amp;Inputs!$B$6)))</f>
        <v>0</v>
      </c>
      <c r="D83" s="6" t="n">
        <f aca="false">IF(AND(B83="fraud",C83=1),'Model Parameters'!$B$13,0)</f>
        <v>0</v>
      </c>
      <c r="E83" s="6" t="n">
        <f aca="false">IF(AND(B83="injection",C83=1),'Model Parameters'!$C$13,0)</f>
        <v>0</v>
      </c>
      <c r="F83" s="6" t="n">
        <f aca="false">IF(C83=1,IF(B83="fraud",'Model Parameters'!$B$13,'Model Parameters'!$C$13),0)</f>
        <v>0</v>
      </c>
      <c r="G83" s="6" t="s">
        <v>59</v>
      </c>
    </row>
    <row r="84" customFormat="false" ht="34.5" hidden="false" customHeight="true" outlineLevel="0" collapsed="false">
      <c r="A84" s="6" t="s">
        <v>138</v>
      </c>
      <c r="B84" s="6" t="s">
        <v>58</v>
      </c>
      <c r="C84" s="6" t="b">
        <f aca="false">--ISNUMBER(SEARCH(A84,LOWER(Inputs!$B$5&amp;" "&amp;Inputs!$B$6)))</f>
        <v>0</v>
      </c>
      <c r="D84" s="6" t="n">
        <f aca="false">IF(AND(B84="fraud",C84=1),'Model Parameters'!$B$13,0)</f>
        <v>0</v>
      </c>
      <c r="E84" s="6" t="n">
        <f aca="false">IF(AND(B84="injection",C84=1),'Model Parameters'!$C$13,0)</f>
        <v>0</v>
      </c>
      <c r="F84" s="6" t="n">
        <f aca="false">IF(C84=1,IF(B84="fraud",'Model Parameters'!$B$13,'Model Parameters'!$C$13),0)</f>
        <v>0</v>
      </c>
      <c r="G84" s="6" t="s">
        <v>59</v>
      </c>
    </row>
    <row r="85" customFormat="false" ht="34.5" hidden="false" customHeight="true" outlineLevel="0" collapsed="false">
      <c r="A85" s="6" t="s">
        <v>139</v>
      </c>
      <c r="B85" s="6" t="s">
        <v>58</v>
      </c>
      <c r="C85" s="6" t="b">
        <f aca="false">--ISNUMBER(SEARCH(A85,LOWER(Inputs!$B$5&amp;" "&amp;Inputs!$B$6)))</f>
        <v>0</v>
      </c>
      <c r="D85" s="6" t="n">
        <f aca="false">IF(AND(B85="fraud",C85=1),'Model Parameters'!$B$13,0)</f>
        <v>0</v>
      </c>
      <c r="E85" s="6" t="n">
        <f aca="false">IF(AND(B85="injection",C85=1),'Model Parameters'!$C$13,0)</f>
        <v>0</v>
      </c>
      <c r="F85" s="6" t="n">
        <f aca="false">IF(C85=1,IF(B85="fraud",'Model Parameters'!$B$13,'Model Parameters'!$C$13),0)</f>
        <v>0</v>
      </c>
      <c r="G85" s="6" t="s">
        <v>59</v>
      </c>
    </row>
    <row r="86" customFormat="false" ht="34.5" hidden="false" customHeight="true" outlineLevel="0" collapsed="false">
      <c r="A86" s="6" t="s">
        <v>140</v>
      </c>
      <c r="B86" s="6" t="s">
        <v>58</v>
      </c>
      <c r="C86" s="6" t="b">
        <f aca="false">--ISNUMBER(SEARCH(A86,LOWER(Inputs!$B$5&amp;" "&amp;Inputs!$B$6)))</f>
        <v>0</v>
      </c>
      <c r="D86" s="6" t="n">
        <f aca="false">IF(AND(B86="fraud",C86=1),'Model Parameters'!$B$13,0)</f>
        <v>0</v>
      </c>
      <c r="E86" s="6" t="n">
        <f aca="false">IF(AND(B86="injection",C86=1),'Model Parameters'!$C$13,0)</f>
        <v>0</v>
      </c>
      <c r="F86" s="6" t="n">
        <f aca="false">IF(C86=1,IF(B86="fraud",'Model Parameters'!$B$13,'Model Parameters'!$C$13),0)</f>
        <v>0</v>
      </c>
      <c r="G86" s="6" t="s">
        <v>59</v>
      </c>
    </row>
    <row r="87" customFormat="false" ht="34.5" hidden="false" customHeight="true" outlineLevel="0" collapsed="false">
      <c r="A87" s="6" t="s">
        <v>141</v>
      </c>
      <c r="B87" s="6" t="s">
        <v>58</v>
      </c>
      <c r="C87" s="6" t="b">
        <f aca="false">--ISNUMBER(SEARCH(A87,LOWER(Inputs!$B$5&amp;" "&amp;Inputs!$B$6)))</f>
        <v>0</v>
      </c>
      <c r="D87" s="6" t="n">
        <f aca="false">IF(AND(B87="fraud",C87=1),'Model Parameters'!$B$13,0)</f>
        <v>0</v>
      </c>
      <c r="E87" s="6" t="n">
        <f aca="false">IF(AND(B87="injection",C87=1),'Model Parameters'!$C$13,0)</f>
        <v>0</v>
      </c>
      <c r="F87" s="6" t="n">
        <f aca="false">IF(C87=1,IF(B87="fraud",'Model Parameters'!$B$13,'Model Parameters'!$C$13),0)</f>
        <v>0</v>
      </c>
      <c r="G87" s="6" t="s">
        <v>59</v>
      </c>
    </row>
    <row r="88" customFormat="false" ht="34.5" hidden="false" customHeight="true" outlineLevel="0" collapsed="false">
      <c r="A88" s="6" t="s">
        <v>142</v>
      </c>
      <c r="B88" s="6" t="s">
        <v>58</v>
      </c>
      <c r="C88" s="6" t="b">
        <f aca="false">--ISNUMBER(SEARCH(A88,LOWER(Inputs!$B$5&amp;" "&amp;Inputs!$B$6)))</f>
        <v>0</v>
      </c>
      <c r="D88" s="6" t="n">
        <f aca="false">IF(AND(B88="fraud",C88=1),'Model Parameters'!$B$13,0)</f>
        <v>0</v>
      </c>
      <c r="E88" s="6" t="n">
        <f aca="false">IF(AND(B88="injection",C88=1),'Model Parameters'!$C$13,0)</f>
        <v>0</v>
      </c>
      <c r="F88" s="6" t="n">
        <f aca="false">IF(C88=1,IF(B88="fraud",'Model Parameters'!$B$13,'Model Parameters'!$C$13),0)</f>
        <v>0</v>
      </c>
      <c r="G88" s="6" t="s">
        <v>59</v>
      </c>
    </row>
    <row r="89" customFormat="false" ht="34.5" hidden="false" customHeight="true" outlineLevel="0" collapsed="false">
      <c r="A89" s="6" t="s">
        <v>143</v>
      </c>
      <c r="B89" s="6" t="s">
        <v>58</v>
      </c>
      <c r="C89" s="6" t="b">
        <f aca="false">--ISNUMBER(SEARCH(A89,LOWER(Inputs!$B$5&amp;" "&amp;Inputs!$B$6)))</f>
        <v>0</v>
      </c>
      <c r="D89" s="6" t="n">
        <f aca="false">IF(AND(B89="fraud",C89=1),'Model Parameters'!$B$13,0)</f>
        <v>0</v>
      </c>
      <c r="E89" s="6" t="n">
        <f aca="false">IF(AND(B89="injection",C89=1),'Model Parameters'!$C$13,0)</f>
        <v>0</v>
      </c>
      <c r="F89" s="6" t="n">
        <f aca="false">IF(C89=1,IF(B89="fraud",'Model Parameters'!$B$13,'Model Parameters'!$C$13),0)</f>
        <v>0</v>
      </c>
      <c r="G89" s="6" t="s">
        <v>59</v>
      </c>
    </row>
    <row r="90" customFormat="false" ht="34.5" hidden="false" customHeight="true" outlineLevel="0" collapsed="false">
      <c r="A90" s="6" t="s">
        <v>144</v>
      </c>
      <c r="B90" s="6" t="s">
        <v>58</v>
      </c>
      <c r="C90" s="6" t="b">
        <f aca="false">--ISNUMBER(SEARCH(A90,LOWER(Inputs!$B$5&amp;" "&amp;Inputs!$B$6)))</f>
        <v>0</v>
      </c>
      <c r="D90" s="6" t="n">
        <f aca="false">IF(AND(B90="fraud",C90=1),'Model Parameters'!$B$13,0)</f>
        <v>0</v>
      </c>
      <c r="E90" s="6" t="n">
        <f aca="false">IF(AND(B90="injection",C90=1),'Model Parameters'!$C$13,0)</f>
        <v>0</v>
      </c>
      <c r="F90" s="6" t="n">
        <f aca="false">IF(C90=1,IF(B90="fraud",'Model Parameters'!$B$13,'Model Parameters'!$C$13),0)</f>
        <v>0</v>
      </c>
      <c r="G90" s="6" t="s">
        <v>59</v>
      </c>
    </row>
    <row r="91" customFormat="false" ht="34.5" hidden="false" customHeight="true" outlineLevel="0" collapsed="false">
      <c r="A91" s="6" t="s">
        <v>145</v>
      </c>
      <c r="B91" s="6" t="s">
        <v>58</v>
      </c>
      <c r="C91" s="6" t="b">
        <f aca="false">--ISNUMBER(SEARCH(A91,LOWER(Inputs!$B$5&amp;" "&amp;Inputs!$B$6)))</f>
        <v>1</v>
      </c>
      <c r="D91" s="6" t="n">
        <v>2</v>
      </c>
      <c r="E91" s="6" t="n">
        <f aca="false">IF(AND(B91="injection",C91=1),'Model Parameters'!$C$13,0)</f>
        <v>0</v>
      </c>
      <c r="F91" s="6" t="n">
        <v>2</v>
      </c>
      <c r="G91" s="6" t="s">
        <v>59</v>
      </c>
    </row>
    <row r="92" customFormat="false" ht="34.5" hidden="false" customHeight="true" outlineLevel="0" collapsed="false">
      <c r="A92" s="6" t="s">
        <v>146</v>
      </c>
      <c r="B92" s="6" t="s">
        <v>58</v>
      </c>
      <c r="C92" s="6" t="b">
        <f aca="false">--ISNUMBER(SEARCH(A92,LOWER(Inputs!$B$5&amp;" "&amp;Inputs!$B$6)))</f>
        <v>0</v>
      </c>
      <c r="D92" s="6" t="n">
        <f aca="false">IF(AND(B92="fraud",C92=1),'Model Parameters'!$B$13,0)</f>
        <v>0</v>
      </c>
      <c r="E92" s="6" t="n">
        <f aca="false">IF(AND(B92="injection",C92=1),'Model Parameters'!$C$13,0)</f>
        <v>0</v>
      </c>
      <c r="F92" s="6" t="n">
        <f aca="false">IF(C92=1,IF(B92="fraud",'Model Parameters'!$B$13,'Model Parameters'!$C$13),0)</f>
        <v>0</v>
      </c>
      <c r="G92" s="6" t="s">
        <v>59</v>
      </c>
    </row>
    <row r="93" customFormat="false" ht="34.5" hidden="false" customHeight="true" outlineLevel="0" collapsed="false">
      <c r="A93" s="6" t="s">
        <v>147</v>
      </c>
      <c r="B93" s="6" t="s">
        <v>58</v>
      </c>
      <c r="C93" s="6" t="b">
        <f aca="false">--ISNUMBER(SEARCH(A93,LOWER(Inputs!$B$5&amp;" "&amp;Inputs!$B$6)))</f>
        <v>0</v>
      </c>
      <c r="D93" s="6" t="n">
        <f aca="false">IF(AND(B93="fraud",C93=1),'Model Parameters'!$B$13,0)</f>
        <v>0</v>
      </c>
      <c r="E93" s="6" t="n">
        <f aca="false">IF(AND(B93="injection",C93=1),'Model Parameters'!$C$13,0)</f>
        <v>0</v>
      </c>
      <c r="F93" s="6" t="n">
        <f aca="false">IF(C93=1,IF(B93="fraud",'Model Parameters'!$B$13,'Model Parameters'!$C$13),0)</f>
        <v>0</v>
      </c>
      <c r="G93" s="6" t="s">
        <v>59</v>
      </c>
    </row>
    <row r="94" customFormat="false" ht="34.5" hidden="false" customHeight="true" outlineLevel="0" collapsed="false">
      <c r="A94" s="6" t="s">
        <v>148</v>
      </c>
      <c r="B94" s="6" t="s">
        <v>58</v>
      </c>
      <c r="C94" s="6" t="b">
        <f aca="false">--ISNUMBER(SEARCH(A94,LOWER(Inputs!$B$5&amp;" "&amp;Inputs!$B$6)))</f>
        <v>0</v>
      </c>
      <c r="D94" s="6" t="n">
        <f aca="false">IF(AND(B94="fraud",C94=1),'Model Parameters'!$B$13,0)</f>
        <v>0</v>
      </c>
      <c r="E94" s="6" t="n">
        <f aca="false">IF(AND(B94="injection",C94=1),'Model Parameters'!$C$13,0)</f>
        <v>0</v>
      </c>
      <c r="F94" s="6" t="n">
        <f aca="false">IF(C94=1,IF(B94="fraud",'Model Parameters'!$B$13,'Model Parameters'!$C$13),0)</f>
        <v>0</v>
      </c>
      <c r="G94" s="6" t="s">
        <v>59</v>
      </c>
    </row>
    <row r="95" customFormat="false" ht="34.5" hidden="false" customHeight="true" outlineLevel="0" collapsed="false">
      <c r="A95" s="6" t="s">
        <v>149</v>
      </c>
      <c r="B95" s="6" t="s">
        <v>58</v>
      </c>
      <c r="C95" s="6" t="b">
        <f aca="false">--ISNUMBER(SEARCH(A95,LOWER(Inputs!$B$5&amp;" "&amp;Inputs!$B$6)))</f>
        <v>0</v>
      </c>
      <c r="D95" s="6" t="n">
        <f aca="false">IF(AND(B95="fraud",C95=1),'Model Parameters'!$B$13,0)</f>
        <v>0</v>
      </c>
      <c r="E95" s="6" t="n">
        <f aca="false">IF(AND(B95="injection",C95=1),'Model Parameters'!$C$13,0)</f>
        <v>0</v>
      </c>
      <c r="F95" s="6" t="n">
        <f aca="false">IF(C95=1,IF(B95="fraud",'Model Parameters'!$B$13,'Model Parameters'!$C$13),0)</f>
        <v>0</v>
      </c>
      <c r="G95" s="6" t="s">
        <v>59</v>
      </c>
    </row>
    <row r="96" customFormat="false" ht="34.5" hidden="false" customHeight="true" outlineLevel="0" collapsed="false">
      <c r="A96" s="6" t="s">
        <v>150</v>
      </c>
      <c r="B96" s="6" t="s">
        <v>58</v>
      </c>
      <c r="C96" s="6" t="b">
        <f aca="false">--ISNUMBER(SEARCH(A96,LOWER(Inputs!$B$5&amp;" "&amp;Inputs!$B$6)))</f>
        <v>0</v>
      </c>
      <c r="D96" s="6" t="n">
        <f aca="false">IF(AND(B96="fraud",C96=1),'Model Parameters'!$B$13,0)</f>
        <v>0</v>
      </c>
      <c r="E96" s="6" t="n">
        <f aca="false">IF(AND(B96="injection",C96=1),'Model Parameters'!$C$13,0)</f>
        <v>0</v>
      </c>
      <c r="F96" s="6" t="n">
        <f aca="false">IF(C96=1,IF(B96="fraud",'Model Parameters'!$B$13,'Model Parameters'!$C$13),0)</f>
        <v>0</v>
      </c>
      <c r="G96" s="6" t="s">
        <v>59</v>
      </c>
    </row>
    <row r="97" customFormat="false" ht="34.5" hidden="false" customHeight="true" outlineLevel="0" collapsed="false">
      <c r="A97" s="6" t="s">
        <v>151</v>
      </c>
      <c r="B97" s="6" t="s">
        <v>58</v>
      </c>
      <c r="C97" s="6" t="b">
        <f aca="false">--ISNUMBER(SEARCH(A97,LOWER(Inputs!$B$5&amp;" "&amp;Inputs!$B$6)))</f>
        <v>0</v>
      </c>
      <c r="D97" s="6" t="n">
        <f aca="false">IF(AND(B97="fraud",C97=1),'Model Parameters'!$B$13,0)</f>
        <v>0</v>
      </c>
      <c r="E97" s="6" t="n">
        <f aca="false">IF(AND(B97="injection",C97=1),'Model Parameters'!$C$13,0)</f>
        <v>0</v>
      </c>
      <c r="F97" s="6" t="n">
        <f aca="false">IF(C97=1,IF(B97="fraud",'Model Parameters'!$B$13,'Model Parameters'!$C$13),0)</f>
        <v>0</v>
      </c>
      <c r="G97" s="6" t="s">
        <v>59</v>
      </c>
    </row>
    <row r="98" customFormat="false" ht="34.5" hidden="false" customHeight="true" outlineLevel="0" collapsed="false">
      <c r="A98" s="6" t="s">
        <v>152</v>
      </c>
      <c r="B98" s="6" t="s">
        <v>58</v>
      </c>
      <c r="C98" s="6" t="b">
        <f aca="false">--ISNUMBER(SEARCH(A98,LOWER(Inputs!$B$5&amp;" "&amp;Inputs!$B$6)))</f>
        <v>0</v>
      </c>
      <c r="D98" s="6" t="n">
        <f aca="false">IF(AND(B98="fraud",C98=1),'Model Parameters'!$B$13,0)</f>
        <v>0</v>
      </c>
      <c r="E98" s="6" t="n">
        <f aca="false">IF(AND(B98="injection",C98=1),'Model Parameters'!$C$13,0)</f>
        <v>0</v>
      </c>
      <c r="F98" s="6" t="n">
        <f aca="false">IF(C98=1,IF(B98="fraud",'Model Parameters'!$B$13,'Model Parameters'!$C$13),0)</f>
        <v>0</v>
      </c>
      <c r="G98" s="6" t="s">
        <v>59</v>
      </c>
    </row>
    <row r="99" customFormat="false" ht="34.5" hidden="false" customHeight="true" outlineLevel="0" collapsed="false">
      <c r="A99" s="6" t="s">
        <v>153</v>
      </c>
      <c r="B99" s="6" t="s">
        <v>58</v>
      </c>
      <c r="C99" s="6" t="b">
        <f aca="false">--ISNUMBER(SEARCH(A99,LOWER(Inputs!$B$5&amp;" "&amp;Inputs!$B$6)))</f>
        <v>0</v>
      </c>
      <c r="D99" s="6" t="n">
        <f aca="false">IF(AND(B99="fraud",C99=1),'Model Parameters'!$B$13,0)</f>
        <v>0</v>
      </c>
      <c r="E99" s="6" t="n">
        <f aca="false">IF(AND(B99="injection",C99=1),'Model Parameters'!$C$13,0)</f>
        <v>0</v>
      </c>
      <c r="F99" s="6" t="n">
        <f aca="false">IF(C99=1,IF(B99="fraud",'Model Parameters'!$B$13,'Model Parameters'!$C$13),0)</f>
        <v>0</v>
      </c>
      <c r="G99" s="6" t="s">
        <v>59</v>
      </c>
    </row>
    <row r="100" customFormat="false" ht="34.5" hidden="false" customHeight="true" outlineLevel="0" collapsed="false">
      <c r="A100" s="6" t="s">
        <v>154</v>
      </c>
      <c r="B100" s="6" t="s">
        <v>58</v>
      </c>
      <c r="C100" s="6" t="b">
        <f aca="false">--ISNUMBER(SEARCH(A100,LOWER(Inputs!$B$5&amp;" "&amp;Inputs!$B$6)))</f>
        <v>0</v>
      </c>
      <c r="D100" s="6" t="n">
        <f aca="false">IF(AND(B100="fraud",C100=1),'Model Parameters'!$B$13,0)</f>
        <v>0</v>
      </c>
      <c r="E100" s="6" t="n">
        <f aca="false">IF(AND(B100="injection",C100=1),'Model Parameters'!$C$13,0)</f>
        <v>0</v>
      </c>
      <c r="F100" s="6" t="n">
        <f aca="false">IF(C100=1,IF(B100="fraud",'Model Parameters'!$B$13,'Model Parameters'!$C$13),0)</f>
        <v>0</v>
      </c>
      <c r="G100" s="6" t="s">
        <v>59</v>
      </c>
    </row>
    <row r="101" customFormat="false" ht="34.5" hidden="false" customHeight="true" outlineLevel="0" collapsed="false">
      <c r="A101" s="6" t="s">
        <v>155</v>
      </c>
      <c r="B101" s="6" t="s">
        <v>156</v>
      </c>
      <c r="C101" s="6" t="b">
        <f aca="false">--ISNUMBER(SEARCH(A101,LOWER(Inputs!$B$5&amp;" "&amp;Inputs!$B$6)))</f>
        <v>0</v>
      </c>
      <c r="D101" s="6" t="n">
        <f aca="false">IF(AND(B101="fraud",C101=1),'Model Parameters'!$B$13,0)</f>
        <v>0</v>
      </c>
      <c r="E101" s="6" t="n">
        <f aca="false">IF(AND(B101="injection",C101=1),'Model Parameters'!$C$13,0)</f>
        <v>0</v>
      </c>
      <c r="F101" s="6" t="n">
        <f aca="false">IF(C101=1,IF(B101="fraud",'Model Parameters'!$B$13,'Model Parameters'!$C$13),0)</f>
        <v>0</v>
      </c>
      <c r="G101" s="6" t="s">
        <v>59</v>
      </c>
    </row>
    <row r="102" customFormat="false" ht="34.5" hidden="false" customHeight="true" outlineLevel="0" collapsed="false">
      <c r="A102" s="6" t="s">
        <v>157</v>
      </c>
      <c r="B102" s="6" t="s">
        <v>156</v>
      </c>
      <c r="C102" s="6" t="b">
        <f aca="false">--ISNUMBER(SEARCH(A102,LOWER(Inputs!$B$5&amp;" "&amp;Inputs!$B$6)))</f>
        <v>0</v>
      </c>
      <c r="D102" s="6" t="n">
        <f aca="false">IF(AND(B102="fraud",C102=1),'Model Parameters'!$B$13,0)</f>
        <v>0</v>
      </c>
      <c r="E102" s="6" t="n">
        <f aca="false">IF(AND(B102="injection",C102=1),'Model Parameters'!$C$13,0)</f>
        <v>0</v>
      </c>
      <c r="F102" s="6" t="n">
        <f aca="false">IF(C102=1,IF(B102="fraud",'Model Parameters'!$B$13,'Model Parameters'!$C$13),0)</f>
        <v>0</v>
      </c>
      <c r="G102" s="6" t="s">
        <v>59</v>
      </c>
    </row>
    <row r="103" customFormat="false" ht="34.5" hidden="false" customHeight="true" outlineLevel="0" collapsed="false">
      <c r="A103" s="6" t="s">
        <v>158</v>
      </c>
      <c r="B103" s="6" t="s">
        <v>156</v>
      </c>
      <c r="C103" s="6" t="b">
        <f aca="false">--ISNUMBER(SEARCH(A103,LOWER(Inputs!$B$5&amp;" "&amp;Inputs!$B$6)))</f>
        <v>0</v>
      </c>
      <c r="D103" s="6" t="n">
        <f aca="false">IF(AND(B103="fraud",C103=1),'Model Parameters'!$B$13,0)</f>
        <v>0</v>
      </c>
      <c r="E103" s="6" t="n">
        <f aca="false">IF(AND(B103="injection",C103=1),'Model Parameters'!$C$13,0)</f>
        <v>0</v>
      </c>
      <c r="F103" s="6" t="n">
        <f aca="false">IF(C103=1,IF(B103="fraud",'Model Parameters'!$B$13,'Model Parameters'!$C$13),0)</f>
        <v>0</v>
      </c>
      <c r="G103" s="6" t="s">
        <v>59</v>
      </c>
    </row>
    <row r="104" customFormat="false" ht="34.5" hidden="false" customHeight="true" outlineLevel="0" collapsed="false">
      <c r="A104" s="6" t="s">
        <v>159</v>
      </c>
      <c r="B104" s="6" t="s">
        <v>156</v>
      </c>
      <c r="C104" s="6" t="b">
        <f aca="false">--ISNUMBER(SEARCH(A104,LOWER(Inputs!$B$5&amp;" "&amp;Inputs!$B$6)))</f>
        <v>0</v>
      </c>
      <c r="D104" s="6" t="n">
        <f aca="false">IF(AND(B104="fraud",C104=1),'Model Parameters'!$B$13,0)</f>
        <v>0</v>
      </c>
      <c r="E104" s="6" t="n">
        <f aca="false">IF(AND(B104="injection",C104=1),'Model Parameters'!$C$13,0)</f>
        <v>0</v>
      </c>
      <c r="F104" s="6" t="n">
        <f aca="false">IF(C104=1,IF(B104="fraud",'Model Parameters'!$B$13,'Model Parameters'!$C$13),0)</f>
        <v>0</v>
      </c>
      <c r="G104" s="6" t="s">
        <v>59</v>
      </c>
    </row>
    <row r="105" customFormat="false" ht="34.5" hidden="false" customHeight="true" outlineLevel="0" collapsed="false">
      <c r="A105" s="6" t="s">
        <v>160</v>
      </c>
      <c r="B105" s="6" t="s">
        <v>156</v>
      </c>
      <c r="C105" s="6" t="b">
        <f aca="false">--ISNUMBER(SEARCH(A105,LOWER(Inputs!$B$5&amp;" "&amp;Inputs!$B$6)))</f>
        <v>0</v>
      </c>
      <c r="D105" s="6" t="n">
        <f aca="false">IF(AND(B105="fraud",C105=1),'Model Parameters'!$B$13,0)</f>
        <v>0</v>
      </c>
      <c r="E105" s="6" t="n">
        <f aca="false">IF(AND(B105="injection",C105=1),'Model Parameters'!$C$13,0)</f>
        <v>0</v>
      </c>
      <c r="F105" s="6" t="n">
        <f aca="false">IF(C105=1,IF(B105="fraud",'Model Parameters'!$B$13,'Model Parameters'!$C$13),0)</f>
        <v>0</v>
      </c>
      <c r="G105" s="6" t="s">
        <v>59</v>
      </c>
    </row>
    <row r="106" customFormat="false" ht="34.5" hidden="false" customHeight="true" outlineLevel="0" collapsed="false">
      <c r="A106" s="6" t="s">
        <v>161</v>
      </c>
      <c r="B106" s="6" t="s">
        <v>156</v>
      </c>
      <c r="C106" s="6" t="b">
        <f aca="false">--ISNUMBER(SEARCH(A106,LOWER(Inputs!$B$5&amp;" "&amp;Inputs!$B$6)))</f>
        <v>0</v>
      </c>
      <c r="D106" s="6" t="n">
        <f aca="false">IF(AND(B106="fraud",C106=1),'Model Parameters'!$B$13,0)</f>
        <v>0</v>
      </c>
      <c r="E106" s="6" t="n">
        <f aca="false">IF(AND(B106="injection",C106=1),'Model Parameters'!$C$13,0)</f>
        <v>0</v>
      </c>
      <c r="F106" s="6" t="n">
        <f aca="false">IF(C106=1,IF(B106="fraud",'Model Parameters'!$B$13,'Model Parameters'!$C$13),0)</f>
        <v>0</v>
      </c>
      <c r="G106" s="6" t="s">
        <v>59</v>
      </c>
    </row>
    <row r="107" customFormat="false" ht="34.5" hidden="false" customHeight="true" outlineLevel="0" collapsed="false">
      <c r="A107" s="6" t="s">
        <v>162</v>
      </c>
      <c r="B107" s="6" t="s">
        <v>156</v>
      </c>
      <c r="C107" s="6" t="b">
        <f aca="false">--ISNUMBER(SEARCH(A107,LOWER(Inputs!$B$5&amp;" "&amp;Inputs!$B$6)))</f>
        <v>0</v>
      </c>
      <c r="D107" s="6" t="n">
        <f aca="false">IF(AND(B107="fraud",C107=1),'Model Parameters'!$B$13,0)</f>
        <v>0</v>
      </c>
      <c r="E107" s="6" t="n">
        <f aca="false">IF(AND(B107="injection",C107=1),'Model Parameters'!$C$13,0)</f>
        <v>0</v>
      </c>
      <c r="F107" s="6" t="n">
        <f aca="false">IF(C107=1,IF(B107="fraud",'Model Parameters'!$B$13,'Model Parameters'!$C$13),0)</f>
        <v>0</v>
      </c>
      <c r="G107" s="6" t="s">
        <v>59</v>
      </c>
    </row>
    <row r="108" customFormat="false" ht="34.5" hidden="false" customHeight="true" outlineLevel="0" collapsed="false">
      <c r="A108" s="6" t="s">
        <v>163</v>
      </c>
      <c r="B108" s="6" t="s">
        <v>156</v>
      </c>
      <c r="C108" s="6" t="b">
        <f aca="false">--ISNUMBER(SEARCH(A108,LOWER(Inputs!$B$5&amp;" "&amp;Inputs!$B$6)))</f>
        <v>0</v>
      </c>
      <c r="D108" s="6" t="n">
        <f aca="false">IF(AND(B108="fraud",C108=1),'Model Parameters'!$B$13,0)</f>
        <v>0</v>
      </c>
      <c r="E108" s="6" t="n">
        <f aca="false">IF(AND(B108="injection",C108=1),'Model Parameters'!$C$13,0)</f>
        <v>0</v>
      </c>
      <c r="F108" s="6" t="n">
        <f aca="false">IF(C108=1,IF(B108="fraud",'Model Parameters'!$B$13,'Model Parameters'!$C$13),0)</f>
        <v>0</v>
      </c>
      <c r="G108" s="6" t="s">
        <v>59</v>
      </c>
    </row>
    <row r="109" customFormat="false" ht="34.5" hidden="false" customHeight="true" outlineLevel="0" collapsed="false">
      <c r="A109" s="6" t="s">
        <v>164</v>
      </c>
      <c r="B109" s="6" t="s">
        <v>156</v>
      </c>
      <c r="C109" s="6" t="b">
        <f aca="false">--ISNUMBER(SEARCH(A109,LOWER(Inputs!$B$5&amp;" "&amp;Inputs!$B$6)))</f>
        <v>0</v>
      </c>
      <c r="D109" s="6" t="n">
        <f aca="false">IF(AND(B109="fraud",C109=1),'Model Parameters'!$B$13,0)</f>
        <v>0</v>
      </c>
      <c r="E109" s="6" t="n">
        <f aca="false">IF(AND(B109="injection",C109=1),'Model Parameters'!$C$13,0)</f>
        <v>0</v>
      </c>
      <c r="F109" s="6" t="n">
        <f aca="false">IF(C109=1,IF(B109="fraud",'Model Parameters'!$B$13,'Model Parameters'!$C$13),0)</f>
        <v>0</v>
      </c>
      <c r="G109" s="6" t="s">
        <v>59</v>
      </c>
    </row>
    <row r="110" customFormat="false" ht="34.5" hidden="false" customHeight="true" outlineLevel="0" collapsed="false">
      <c r="A110" s="6" t="s">
        <v>165</v>
      </c>
      <c r="B110" s="6" t="s">
        <v>156</v>
      </c>
      <c r="C110" s="6" t="b">
        <f aca="false">--ISNUMBER(SEARCH(A110,LOWER(Inputs!$B$5&amp;" "&amp;Inputs!$B$6)))</f>
        <v>0</v>
      </c>
      <c r="D110" s="6" t="n">
        <f aca="false">IF(AND(B110="fraud",C110=1),'Model Parameters'!$B$13,0)</f>
        <v>0</v>
      </c>
      <c r="E110" s="6" t="n">
        <f aca="false">IF(AND(B110="injection",C110=1),'Model Parameters'!$C$13,0)</f>
        <v>0</v>
      </c>
      <c r="F110" s="6" t="n">
        <f aca="false">IF(C110=1,IF(B110="fraud",'Model Parameters'!$B$13,'Model Parameters'!$C$13),0)</f>
        <v>0</v>
      </c>
      <c r="G110" s="6" t="s">
        <v>59</v>
      </c>
    </row>
    <row r="111" customFormat="false" ht="34.5" hidden="false" customHeight="true" outlineLevel="0" collapsed="false">
      <c r="A111" s="6" t="s">
        <v>166</v>
      </c>
      <c r="B111" s="6" t="s">
        <v>156</v>
      </c>
      <c r="C111" s="6" t="b">
        <f aca="false">--ISNUMBER(SEARCH(A111,LOWER(Inputs!$B$5&amp;" "&amp;Inputs!$B$6)))</f>
        <v>0</v>
      </c>
      <c r="D111" s="6" t="n">
        <f aca="false">IF(AND(B111="fraud",C111=1),'Model Parameters'!$B$13,0)</f>
        <v>0</v>
      </c>
      <c r="E111" s="6" t="n">
        <f aca="false">IF(AND(B111="injection",C111=1),'Model Parameters'!$C$13,0)</f>
        <v>0</v>
      </c>
      <c r="F111" s="6" t="n">
        <f aca="false">IF(C111=1,IF(B111="fraud",'Model Parameters'!$B$13,'Model Parameters'!$C$13),0)</f>
        <v>0</v>
      </c>
      <c r="G111" s="6" t="s">
        <v>59</v>
      </c>
    </row>
    <row r="112" customFormat="false" ht="34.5" hidden="false" customHeight="true" outlineLevel="0" collapsed="false">
      <c r="A112" s="6" t="s">
        <v>167</v>
      </c>
      <c r="B112" s="6" t="s">
        <v>156</v>
      </c>
      <c r="C112" s="6" t="b">
        <f aca="false">--ISNUMBER(SEARCH(A112,LOWER(Inputs!$B$5&amp;" "&amp;Inputs!$B$6)))</f>
        <v>0</v>
      </c>
      <c r="D112" s="6" t="n">
        <f aca="false">IF(AND(B112="fraud",C112=1),'Model Parameters'!$B$13,0)</f>
        <v>0</v>
      </c>
      <c r="E112" s="6" t="n">
        <f aca="false">IF(AND(B112="injection",C112=1),'Model Parameters'!$C$13,0)</f>
        <v>0</v>
      </c>
      <c r="F112" s="6" t="n">
        <f aca="false">IF(C112=1,IF(B112="fraud",'Model Parameters'!$B$13,'Model Parameters'!$C$13),0)</f>
        <v>0</v>
      </c>
      <c r="G112" s="6" t="s">
        <v>59</v>
      </c>
    </row>
    <row r="113" customFormat="false" ht="34.5" hidden="false" customHeight="true" outlineLevel="0" collapsed="false">
      <c r="A113" s="6" t="s">
        <v>168</v>
      </c>
      <c r="B113" s="6" t="s">
        <v>156</v>
      </c>
      <c r="C113" s="6" t="b">
        <f aca="false">--ISNUMBER(SEARCH(A113,LOWER(Inputs!$B$5&amp;" "&amp;Inputs!$B$6)))</f>
        <v>0</v>
      </c>
      <c r="D113" s="6" t="n">
        <f aca="false">IF(AND(B113="fraud",C113=1),'Model Parameters'!$B$13,0)</f>
        <v>0</v>
      </c>
      <c r="E113" s="6" t="n">
        <f aca="false">IF(AND(B113="injection",C113=1),'Model Parameters'!$C$13,0)</f>
        <v>0</v>
      </c>
      <c r="F113" s="6" t="n">
        <f aca="false">IF(C113=1,IF(B113="fraud",'Model Parameters'!$B$13,'Model Parameters'!$C$13),0)</f>
        <v>0</v>
      </c>
      <c r="G113" s="6" t="s">
        <v>59</v>
      </c>
    </row>
    <row r="114" customFormat="false" ht="34.5" hidden="false" customHeight="true" outlineLevel="0" collapsed="false">
      <c r="A114" s="6" t="s">
        <v>169</v>
      </c>
      <c r="B114" s="6" t="s">
        <v>156</v>
      </c>
      <c r="C114" s="6" t="b">
        <f aca="false">--ISNUMBER(SEARCH(A114,LOWER(Inputs!$B$5&amp;" "&amp;Inputs!$B$6)))</f>
        <v>0</v>
      </c>
      <c r="D114" s="6" t="n">
        <f aca="false">IF(AND(B114="fraud",C114=1),'Model Parameters'!$B$13,0)</f>
        <v>0</v>
      </c>
      <c r="E114" s="6" t="n">
        <f aca="false">IF(AND(B114="injection",C114=1),'Model Parameters'!$C$13,0)</f>
        <v>0</v>
      </c>
      <c r="F114" s="6" t="n">
        <f aca="false">IF(C114=1,IF(B114="fraud",'Model Parameters'!$B$13,'Model Parameters'!$C$13),0)</f>
        <v>0</v>
      </c>
      <c r="G114" s="6" t="s">
        <v>59</v>
      </c>
    </row>
    <row r="115" customFormat="false" ht="34.5" hidden="false" customHeight="true" outlineLevel="0" collapsed="false">
      <c r="A115" s="6" t="s">
        <v>170</v>
      </c>
      <c r="B115" s="6" t="s">
        <v>156</v>
      </c>
      <c r="C115" s="6" t="b">
        <f aca="false">--ISNUMBER(SEARCH(A115,LOWER(Inputs!$B$5&amp;" "&amp;Inputs!$B$6)))</f>
        <v>0</v>
      </c>
      <c r="D115" s="6" t="n">
        <f aca="false">IF(AND(B115="fraud",C115=1),'Model Parameters'!$B$13,0)</f>
        <v>0</v>
      </c>
      <c r="E115" s="6" t="n">
        <f aca="false">IF(AND(B115="injection",C115=1),'Model Parameters'!$C$13,0)</f>
        <v>0</v>
      </c>
      <c r="F115" s="6" t="n">
        <f aca="false">IF(C115=1,IF(B115="fraud",'Model Parameters'!$B$13,'Model Parameters'!$C$13),0)</f>
        <v>0</v>
      </c>
      <c r="G115" s="6" t="s">
        <v>59</v>
      </c>
    </row>
    <row r="116" customFormat="false" ht="34.5" hidden="false" customHeight="true" outlineLevel="0" collapsed="false">
      <c r="A116" s="6" t="s">
        <v>171</v>
      </c>
      <c r="B116" s="6" t="s">
        <v>156</v>
      </c>
      <c r="C116" s="6" t="b">
        <f aca="false">--ISNUMBER(SEARCH(A116,LOWER(Inputs!$B$5&amp;" "&amp;Inputs!$B$6)))</f>
        <v>0</v>
      </c>
      <c r="D116" s="6" t="n">
        <f aca="false">IF(AND(B116="fraud",C116=1),'Model Parameters'!$B$13,0)</f>
        <v>0</v>
      </c>
      <c r="E116" s="6" t="n">
        <f aca="false">IF(AND(B116="injection",C116=1),'Model Parameters'!$C$13,0)</f>
        <v>0</v>
      </c>
      <c r="F116" s="6" t="n">
        <f aca="false">IF(C116=1,IF(B116="fraud",'Model Parameters'!$B$13,'Model Parameters'!$C$13),0)</f>
        <v>0</v>
      </c>
      <c r="G116" s="6" t="s">
        <v>59</v>
      </c>
    </row>
    <row r="117" customFormat="false" ht="34.5" hidden="false" customHeight="true" outlineLevel="0" collapsed="false">
      <c r="A117" s="6" t="s">
        <v>172</v>
      </c>
      <c r="B117" s="6" t="s">
        <v>156</v>
      </c>
      <c r="C117" s="6" t="b">
        <f aca="false">--ISNUMBER(SEARCH(A117,LOWER(Inputs!$B$5&amp;" "&amp;Inputs!$B$6)))</f>
        <v>0</v>
      </c>
      <c r="D117" s="6" t="n">
        <f aca="false">IF(AND(B117="fraud",C117=1),'Model Parameters'!$B$13,0)</f>
        <v>0</v>
      </c>
      <c r="E117" s="6" t="n">
        <f aca="false">IF(AND(B117="injection",C117=1),'Model Parameters'!$C$13,0)</f>
        <v>0</v>
      </c>
      <c r="F117" s="6" t="n">
        <f aca="false">IF(C117=1,IF(B117="fraud",'Model Parameters'!$B$13,'Model Parameters'!$C$13),0)</f>
        <v>0</v>
      </c>
      <c r="G117" s="6" t="s">
        <v>59</v>
      </c>
    </row>
    <row r="118" customFormat="false" ht="34.5" hidden="false" customHeight="true" outlineLevel="0" collapsed="false">
      <c r="A118" s="6" t="s">
        <v>173</v>
      </c>
      <c r="B118" s="6" t="s">
        <v>156</v>
      </c>
      <c r="C118" s="6" t="b">
        <f aca="false">--ISNUMBER(SEARCH(A118,LOWER(Inputs!$B$5&amp;" "&amp;Inputs!$B$6)))</f>
        <v>0</v>
      </c>
      <c r="D118" s="6" t="n">
        <f aca="false">IF(AND(B118="fraud",C118=1),'Model Parameters'!$B$13,0)</f>
        <v>0</v>
      </c>
      <c r="E118" s="6" t="n">
        <f aca="false">IF(AND(B118="injection",C118=1),'Model Parameters'!$C$13,0)</f>
        <v>0</v>
      </c>
      <c r="F118" s="6" t="n">
        <f aca="false">IF(C118=1,IF(B118="fraud",'Model Parameters'!$B$13,'Model Parameters'!$C$13),0)</f>
        <v>0</v>
      </c>
      <c r="G118" s="6" t="s">
        <v>59</v>
      </c>
    </row>
    <row r="119" customFormat="false" ht="34.5" hidden="false" customHeight="true" outlineLevel="0" collapsed="false">
      <c r="A119" s="6" t="s">
        <v>174</v>
      </c>
      <c r="B119" s="6" t="s">
        <v>156</v>
      </c>
      <c r="C119" s="6" t="b">
        <f aca="false">--ISNUMBER(SEARCH(A119,LOWER(Inputs!$B$5&amp;" "&amp;Inputs!$B$6)))</f>
        <v>0</v>
      </c>
      <c r="D119" s="6" t="n">
        <f aca="false">IF(AND(B119="fraud",C119=1),'Model Parameters'!$B$13,0)</f>
        <v>0</v>
      </c>
      <c r="E119" s="6" t="n">
        <f aca="false">IF(AND(B119="injection",C119=1),'Model Parameters'!$C$13,0)</f>
        <v>0</v>
      </c>
      <c r="F119" s="6" t="n">
        <f aca="false">IF(C119=1,IF(B119="fraud",'Model Parameters'!$B$13,'Model Parameters'!$C$13),0)</f>
        <v>0</v>
      </c>
      <c r="G119" s="6" t="s">
        <v>59</v>
      </c>
    </row>
    <row r="120" customFormat="false" ht="34.5" hidden="false" customHeight="true" outlineLevel="0" collapsed="false">
      <c r="A120" s="6" t="s">
        <v>175</v>
      </c>
      <c r="B120" s="6" t="s">
        <v>156</v>
      </c>
      <c r="C120" s="6" t="b">
        <f aca="false">--ISNUMBER(SEARCH(A120,LOWER(Inputs!$B$5&amp;" "&amp;Inputs!$B$6)))</f>
        <v>0</v>
      </c>
      <c r="D120" s="6" t="n">
        <f aca="false">IF(AND(B120="fraud",C120=1),'Model Parameters'!$B$13,0)</f>
        <v>0</v>
      </c>
      <c r="E120" s="6" t="n">
        <f aca="false">IF(AND(B120="injection",C120=1),'Model Parameters'!$C$13,0)</f>
        <v>0</v>
      </c>
      <c r="F120" s="6" t="n">
        <f aca="false">IF(C120=1,IF(B120="fraud",'Model Parameters'!$B$13,'Model Parameters'!$C$13),0)</f>
        <v>0</v>
      </c>
      <c r="G120" s="6" t="s">
        <v>59</v>
      </c>
    </row>
    <row r="121" customFormat="false" ht="34.5" hidden="false" customHeight="true" outlineLevel="0" collapsed="false">
      <c r="A121" s="6" t="s">
        <v>176</v>
      </c>
      <c r="B121" s="6" t="s">
        <v>156</v>
      </c>
      <c r="C121" s="6" t="b">
        <f aca="false">--ISNUMBER(SEARCH(A121,LOWER(Inputs!$B$5&amp;" "&amp;Inputs!$B$6)))</f>
        <v>0</v>
      </c>
      <c r="D121" s="6" t="n">
        <f aca="false">IF(AND(B121="fraud",C121=1),'Model Parameters'!$B$13,0)</f>
        <v>0</v>
      </c>
      <c r="E121" s="6" t="n">
        <f aca="false">IF(AND(B121="injection",C121=1),'Model Parameters'!$C$13,0)</f>
        <v>0</v>
      </c>
      <c r="F121" s="6" t="n">
        <f aca="false">IF(C121=1,IF(B121="fraud",'Model Parameters'!$B$13,'Model Parameters'!$C$13),0)</f>
        <v>0</v>
      </c>
      <c r="G121" s="6" t="s">
        <v>59</v>
      </c>
    </row>
    <row r="122" customFormat="false" ht="34.5" hidden="false" customHeight="true" outlineLevel="0" collapsed="false">
      <c r="A122" s="6" t="s">
        <v>177</v>
      </c>
      <c r="B122" s="6" t="s">
        <v>156</v>
      </c>
      <c r="C122" s="6" t="b">
        <f aca="false">--ISNUMBER(SEARCH(A122,LOWER(Inputs!$B$5&amp;" "&amp;Inputs!$B$6)))</f>
        <v>0</v>
      </c>
      <c r="D122" s="6" t="n">
        <f aca="false">IF(AND(B122="fraud",C122=1),'Model Parameters'!$B$13,0)</f>
        <v>0</v>
      </c>
      <c r="E122" s="6" t="n">
        <f aca="false">IF(AND(B122="injection",C122=1),'Model Parameters'!$C$13,0)</f>
        <v>0</v>
      </c>
      <c r="F122" s="6" t="n">
        <f aca="false">IF(C122=1,IF(B122="fraud",'Model Parameters'!$B$13,'Model Parameters'!$C$13),0)</f>
        <v>0</v>
      </c>
      <c r="G122" s="6" t="s">
        <v>59</v>
      </c>
    </row>
    <row r="123" customFormat="false" ht="34.5" hidden="false" customHeight="true" outlineLevel="0" collapsed="false">
      <c r="A123" s="6" t="s">
        <v>178</v>
      </c>
      <c r="B123" s="6" t="s">
        <v>156</v>
      </c>
      <c r="C123" s="6" t="b">
        <f aca="false">--ISNUMBER(SEARCH(A123,LOWER(Inputs!$B$5&amp;" "&amp;Inputs!$B$6)))</f>
        <v>0</v>
      </c>
      <c r="D123" s="6" t="n">
        <f aca="false">IF(AND(B123="fraud",C123=1),'Model Parameters'!$B$13,0)</f>
        <v>0</v>
      </c>
      <c r="E123" s="6" t="n">
        <f aca="false">IF(AND(B123="injection",C123=1),'Model Parameters'!$C$13,0)</f>
        <v>0</v>
      </c>
      <c r="F123" s="6" t="n">
        <f aca="false">IF(C123=1,IF(B123="fraud",'Model Parameters'!$B$13,'Model Parameters'!$C$13),0)</f>
        <v>0</v>
      </c>
      <c r="G123" s="6" t="s">
        <v>59</v>
      </c>
    </row>
    <row r="124" customFormat="false" ht="34.5" hidden="false" customHeight="true" outlineLevel="0" collapsed="false">
      <c r="A124" s="6" t="s">
        <v>179</v>
      </c>
      <c r="B124" s="6" t="s">
        <v>156</v>
      </c>
      <c r="C124" s="6" t="b">
        <f aca="false">--ISNUMBER(SEARCH(A124,LOWER(Inputs!$B$5&amp;" "&amp;Inputs!$B$6)))</f>
        <v>0</v>
      </c>
      <c r="D124" s="6" t="n">
        <f aca="false">IF(AND(B124="fraud",C124=1),'Model Parameters'!$B$13,0)</f>
        <v>0</v>
      </c>
      <c r="E124" s="6" t="n">
        <f aca="false">IF(AND(B124="injection",C124=1),'Model Parameters'!$C$13,0)</f>
        <v>0</v>
      </c>
      <c r="F124" s="6" t="n">
        <f aca="false">IF(C124=1,IF(B124="fraud",'Model Parameters'!$B$13,'Model Parameters'!$C$13),0)</f>
        <v>0</v>
      </c>
      <c r="G124" s="6" t="s">
        <v>59</v>
      </c>
    </row>
    <row r="125" customFormat="false" ht="34.5" hidden="false" customHeight="true" outlineLevel="0" collapsed="false">
      <c r="A125" s="6" t="s">
        <v>180</v>
      </c>
      <c r="B125" s="6" t="s">
        <v>156</v>
      </c>
      <c r="C125" s="6" t="b">
        <f aca="false">--ISNUMBER(SEARCH(A125,LOWER(Inputs!$B$5&amp;" "&amp;Inputs!$B$6)))</f>
        <v>0</v>
      </c>
      <c r="D125" s="6" t="n">
        <f aca="false">IF(AND(B125="fraud",C125=1),'Model Parameters'!$B$13,0)</f>
        <v>0</v>
      </c>
      <c r="E125" s="6" t="n">
        <f aca="false">IF(AND(B125="injection",C125=1),'Model Parameters'!$C$13,0)</f>
        <v>0</v>
      </c>
      <c r="F125" s="6" t="n">
        <f aca="false">IF(C125=1,IF(B125="fraud",'Model Parameters'!$B$13,'Model Parameters'!$C$13),0)</f>
        <v>0</v>
      </c>
      <c r="G125" s="6" t="s">
        <v>59</v>
      </c>
    </row>
    <row r="126" customFormat="false" ht="34.5" hidden="false" customHeight="true" outlineLevel="0" collapsed="false">
      <c r="A126" s="6" t="s">
        <v>181</v>
      </c>
      <c r="B126" s="6" t="s">
        <v>156</v>
      </c>
      <c r="C126" s="6" t="b">
        <f aca="false">--ISNUMBER(SEARCH(A126,LOWER(Inputs!$B$5&amp;" "&amp;Inputs!$B$6)))</f>
        <v>0</v>
      </c>
      <c r="D126" s="6" t="n">
        <f aca="false">IF(AND(B126="fraud",C126=1),'Model Parameters'!$B$13,0)</f>
        <v>0</v>
      </c>
      <c r="E126" s="6" t="n">
        <f aca="false">IF(AND(B126="injection",C126=1),'Model Parameters'!$C$13,0)</f>
        <v>0</v>
      </c>
      <c r="F126" s="6" t="n">
        <f aca="false">IF(C126=1,IF(B126="fraud",'Model Parameters'!$B$13,'Model Parameters'!$C$13),0)</f>
        <v>0</v>
      </c>
      <c r="G126" s="6" t="s">
        <v>59</v>
      </c>
    </row>
    <row r="127" customFormat="false" ht="34.5" hidden="false" customHeight="true" outlineLevel="0" collapsed="false">
      <c r="A127" s="6" t="s">
        <v>182</v>
      </c>
      <c r="B127" s="6" t="s">
        <v>156</v>
      </c>
      <c r="C127" s="6" t="b">
        <f aca="false">--ISNUMBER(SEARCH(A127,LOWER(Inputs!$B$5&amp;" "&amp;Inputs!$B$6)))</f>
        <v>0</v>
      </c>
      <c r="D127" s="6" t="n">
        <f aca="false">IF(AND(B127="fraud",C127=1),'Model Parameters'!$B$13,0)</f>
        <v>0</v>
      </c>
      <c r="E127" s="6" t="n">
        <f aca="false">IF(AND(B127="injection",C127=1),'Model Parameters'!$C$13,0)</f>
        <v>0</v>
      </c>
      <c r="F127" s="6" t="n">
        <f aca="false">IF(C127=1,IF(B127="fraud",'Model Parameters'!$B$13,'Model Parameters'!$C$13),0)</f>
        <v>0</v>
      </c>
      <c r="G127" s="6" t="s">
        <v>59</v>
      </c>
    </row>
    <row r="128" customFormat="false" ht="34.5" hidden="false" customHeight="true" outlineLevel="0" collapsed="false">
      <c r="A128" s="6" t="s">
        <v>183</v>
      </c>
      <c r="B128" s="6" t="s">
        <v>156</v>
      </c>
      <c r="C128" s="6" t="b">
        <f aca="false">--ISNUMBER(SEARCH(A128,LOWER(Inputs!$B$5&amp;" "&amp;Inputs!$B$6)))</f>
        <v>0</v>
      </c>
      <c r="D128" s="6" t="n">
        <f aca="false">IF(AND(B128="fraud",C128=1),'Model Parameters'!$B$13,0)</f>
        <v>0</v>
      </c>
      <c r="E128" s="6" t="n">
        <f aca="false">IF(AND(B128="injection",C128=1),'Model Parameters'!$C$13,0)</f>
        <v>0</v>
      </c>
      <c r="F128" s="6" t="n">
        <f aca="false">IF(C128=1,IF(B128="fraud",'Model Parameters'!$B$13,'Model Parameters'!$C$13),0)</f>
        <v>0</v>
      </c>
      <c r="G128" s="6" t="s">
        <v>59</v>
      </c>
    </row>
    <row r="129" customFormat="false" ht="34.5" hidden="false" customHeight="true" outlineLevel="0" collapsed="false">
      <c r="A129" s="6" t="s">
        <v>184</v>
      </c>
      <c r="B129" s="6" t="s">
        <v>156</v>
      </c>
      <c r="C129" s="6" t="b">
        <f aca="false">--ISNUMBER(SEARCH(A129,LOWER(Inputs!$B$5&amp;" "&amp;Inputs!$B$6)))</f>
        <v>0</v>
      </c>
      <c r="D129" s="6" t="n">
        <f aca="false">IF(AND(B129="fraud",C129=1),'Model Parameters'!$B$13,0)</f>
        <v>0</v>
      </c>
      <c r="E129" s="6" t="n">
        <f aca="false">IF(AND(B129="injection",C129=1),'Model Parameters'!$C$13,0)</f>
        <v>0</v>
      </c>
      <c r="F129" s="6" t="n">
        <f aca="false">IF(C129=1,IF(B129="fraud",'Model Parameters'!$B$13,'Model Parameters'!$C$13),0)</f>
        <v>0</v>
      </c>
      <c r="G129" s="6" t="s">
        <v>59</v>
      </c>
    </row>
    <row r="130" customFormat="false" ht="34.5" hidden="false" customHeight="true" outlineLevel="0" collapsed="false">
      <c r="A130" s="6" t="s">
        <v>185</v>
      </c>
      <c r="B130" s="6" t="s">
        <v>156</v>
      </c>
      <c r="C130" s="6" t="b">
        <f aca="false">--ISNUMBER(SEARCH(A130,LOWER(Inputs!$B$5&amp;" "&amp;Inputs!$B$6)))</f>
        <v>0</v>
      </c>
      <c r="D130" s="6" t="n">
        <f aca="false">IF(AND(B130="fraud",C130=1),'Model Parameters'!$B$13,0)</f>
        <v>0</v>
      </c>
      <c r="E130" s="6" t="n">
        <f aca="false">IF(AND(B130="injection",C130=1),'Model Parameters'!$C$13,0)</f>
        <v>0</v>
      </c>
      <c r="F130" s="6" t="n">
        <f aca="false">IF(C130=1,IF(B130="fraud",'Model Parameters'!$B$13,'Model Parameters'!$C$13),0)</f>
        <v>0</v>
      </c>
      <c r="G130" s="6" t="s">
        <v>59</v>
      </c>
    </row>
    <row r="131" customFormat="false" ht="34.5" hidden="false" customHeight="true" outlineLevel="0" collapsed="false">
      <c r="A131" s="6" t="s">
        <v>186</v>
      </c>
      <c r="B131" s="6" t="s">
        <v>156</v>
      </c>
      <c r="C131" s="6" t="b">
        <f aca="false">--ISNUMBER(SEARCH(A131,LOWER(Inputs!$B$5&amp;" "&amp;Inputs!$B$6)))</f>
        <v>0</v>
      </c>
      <c r="D131" s="6" t="n">
        <f aca="false">IF(AND(B131="fraud",C131=1),'Model Parameters'!$B$13,0)</f>
        <v>0</v>
      </c>
      <c r="E131" s="6" t="n">
        <f aca="false">IF(AND(B131="injection",C131=1),'Model Parameters'!$C$13,0)</f>
        <v>0</v>
      </c>
      <c r="F131" s="6" t="n">
        <f aca="false">IF(C131=1,IF(B131="fraud",'Model Parameters'!$B$13,'Model Parameters'!$C$13),0)</f>
        <v>0</v>
      </c>
      <c r="G131" s="6" t="s">
        <v>59</v>
      </c>
    </row>
    <row r="132" customFormat="false" ht="34.5" hidden="false" customHeight="true" outlineLevel="0" collapsed="false">
      <c r="A132" s="6" t="s">
        <v>187</v>
      </c>
      <c r="B132" s="6" t="s">
        <v>156</v>
      </c>
      <c r="C132" s="6" t="b">
        <f aca="false">--ISNUMBER(SEARCH(A132,LOWER(Inputs!$B$5&amp;" "&amp;Inputs!$B$6)))</f>
        <v>0</v>
      </c>
      <c r="D132" s="6" t="n">
        <f aca="false">IF(AND(B132="fraud",C132=1),'Model Parameters'!$B$13,0)</f>
        <v>0</v>
      </c>
      <c r="E132" s="6" t="n">
        <f aca="false">IF(AND(B132="injection",C132=1),'Model Parameters'!$C$13,0)</f>
        <v>0</v>
      </c>
      <c r="F132" s="6" t="n">
        <f aca="false">IF(C132=1,IF(B132="fraud",'Model Parameters'!$B$13,'Model Parameters'!$C$13),0)</f>
        <v>0</v>
      </c>
      <c r="G132" s="6" t="s">
        <v>59</v>
      </c>
    </row>
    <row r="133" customFormat="false" ht="34.5" hidden="false" customHeight="true" outlineLevel="0" collapsed="false">
      <c r="A133" s="6" t="s">
        <v>188</v>
      </c>
      <c r="B133" s="6" t="s">
        <v>156</v>
      </c>
      <c r="C133" s="6" t="b">
        <f aca="false">--ISNUMBER(SEARCH(A133,LOWER(Inputs!$B$5&amp;" "&amp;Inputs!$B$6)))</f>
        <v>0</v>
      </c>
      <c r="D133" s="6" t="n">
        <f aca="false">IF(AND(B133="fraud",C133=1),'Model Parameters'!$B$13,0)</f>
        <v>0</v>
      </c>
      <c r="E133" s="6" t="n">
        <f aca="false">IF(AND(B133="injection",C133=1),'Model Parameters'!$C$13,0)</f>
        <v>0</v>
      </c>
      <c r="F133" s="6" t="n">
        <f aca="false">IF(C133=1,IF(B133="fraud",'Model Parameters'!$B$13,'Model Parameters'!$C$13),0)</f>
        <v>0</v>
      </c>
      <c r="G133" s="6" t="s">
        <v>59</v>
      </c>
    </row>
    <row r="134" customFormat="false" ht="34.5" hidden="false" customHeight="true" outlineLevel="0" collapsed="false">
      <c r="A134" s="6" t="s">
        <v>189</v>
      </c>
      <c r="B134" s="6" t="s">
        <v>156</v>
      </c>
      <c r="C134" s="6" t="b">
        <f aca="false">--ISNUMBER(SEARCH(A134,LOWER(Inputs!$B$5&amp;" "&amp;Inputs!$B$6)))</f>
        <v>0</v>
      </c>
      <c r="D134" s="6" t="n">
        <f aca="false">IF(AND(B134="fraud",C134=1),'Model Parameters'!$B$13,0)</f>
        <v>0</v>
      </c>
      <c r="E134" s="6" t="n">
        <f aca="false">IF(AND(B134="injection",C134=1),'Model Parameters'!$C$13,0)</f>
        <v>0</v>
      </c>
      <c r="F134" s="6" t="n">
        <f aca="false">IF(C134=1,IF(B134="fraud",'Model Parameters'!$B$13,'Model Parameters'!$C$13),0)</f>
        <v>0</v>
      </c>
      <c r="G134" s="6" t="s">
        <v>59</v>
      </c>
    </row>
    <row r="135" customFormat="false" ht="34.5" hidden="false" customHeight="true" outlineLevel="0" collapsed="false">
      <c r="A135" s="6" t="s">
        <v>190</v>
      </c>
      <c r="B135" s="6" t="s">
        <v>156</v>
      </c>
      <c r="C135" s="6" t="b">
        <f aca="false">--ISNUMBER(SEARCH(A135,LOWER(Inputs!$B$5&amp;" "&amp;Inputs!$B$6)))</f>
        <v>0</v>
      </c>
      <c r="D135" s="6" t="n">
        <f aca="false">IF(AND(B135="fraud",C135=1),'Model Parameters'!$B$13,0)</f>
        <v>0</v>
      </c>
      <c r="E135" s="6" t="n">
        <f aca="false">IF(AND(B135="injection",C135=1),'Model Parameters'!$C$13,0)</f>
        <v>0</v>
      </c>
      <c r="F135" s="6" t="n">
        <f aca="false">IF(C135=1,IF(B135="fraud",'Model Parameters'!$B$13,'Model Parameters'!$C$13),0)</f>
        <v>0</v>
      </c>
      <c r="G135" s="6" t="s">
        <v>59</v>
      </c>
    </row>
    <row r="136" customFormat="false" ht="34.5" hidden="false" customHeight="true" outlineLevel="0" collapsed="false">
      <c r="A136" s="6" t="s">
        <v>191</v>
      </c>
      <c r="B136" s="6" t="s">
        <v>156</v>
      </c>
      <c r="C136" s="6" t="b">
        <f aca="false">--ISNUMBER(SEARCH(A136,LOWER(Inputs!$B$5&amp;" "&amp;Inputs!$B$6)))</f>
        <v>0</v>
      </c>
      <c r="D136" s="6" t="n">
        <f aca="false">IF(AND(B136="fraud",C136=1),'Model Parameters'!$B$13,0)</f>
        <v>0</v>
      </c>
      <c r="E136" s="6" t="n">
        <f aca="false">IF(AND(B136="injection",C136=1),'Model Parameters'!$C$13,0)</f>
        <v>0</v>
      </c>
      <c r="F136" s="6" t="n">
        <f aca="false">IF(C136=1,IF(B136="fraud",'Model Parameters'!$B$13,'Model Parameters'!$C$13),0)</f>
        <v>0</v>
      </c>
      <c r="G136" s="6" t="s">
        <v>59</v>
      </c>
    </row>
    <row r="137" customFormat="false" ht="34.5" hidden="false" customHeight="true" outlineLevel="0" collapsed="false">
      <c r="A137" s="6" t="s">
        <v>192</v>
      </c>
      <c r="B137" s="6" t="s">
        <v>156</v>
      </c>
      <c r="C137" s="6" t="b">
        <f aca="false">--ISNUMBER(SEARCH(A137,LOWER(Inputs!$B$5&amp;" "&amp;Inputs!$B$6)))</f>
        <v>0</v>
      </c>
      <c r="D137" s="6" t="n">
        <f aca="false">IF(AND(B137="fraud",C137=1),'Model Parameters'!$B$13,0)</f>
        <v>0</v>
      </c>
      <c r="E137" s="6" t="n">
        <f aca="false">IF(AND(B137="injection",C137=1),'Model Parameters'!$C$13,0)</f>
        <v>0</v>
      </c>
      <c r="F137" s="6" t="n">
        <f aca="false">IF(C137=1,IF(B137="fraud",'Model Parameters'!$B$13,'Model Parameters'!$C$13),0)</f>
        <v>0</v>
      </c>
      <c r="G137" s="6" t="s">
        <v>59</v>
      </c>
    </row>
    <row r="138" customFormat="false" ht="34.5" hidden="false" customHeight="true" outlineLevel="0" collapsed="false">
      <c r="A138" s="6" t="s">
        <v>193</v>
      </c>
      <c r="B138" s="6" t="s">
        <v>156</v>
      </c>
      <c r="C138" s="6" t="b">
        <f aca="false">--ISNUMBER(SEARCH(A138,LOWER(Inputs!$B$5&amp;" "&amp;Inputs!$B$6)))</f>
        <v>0</v>
      </c>
      <c r="D138" s="6" t="n">
        <f aca="false">IF(AND(B138="fraud",C138=1),'Model Parameters'!$B$13,0)</f>
        <v>0</v>
      </c>
      <c r="E138" s="6" t="n">
        <f aca="false">IF(AND(B138="injection",C138=1),'Model Parameters'!$C$13,0)</f>
        <v>0</v>
      </c>
      <c r="F138" s="6" t="n">
        <f aca="false">IF(C138=1,IF(B138="fraud",'Model Parameters'!$B$13,'Model Parameters'!$C$13),0)</f>
        <v>0</v>
      </c>
      <c r="G138" s="6" t="s">
        <v>59</v>
      </c>
    </row>
    <row r="139" customFormat="false" ht="34.5" hidden="false" customHeight="true" outlineLevel="0" collapsed="false">
      <c r="A139" s="6" t="s">
        <v>194</v>
      </c>
      <c r="B139" s="6" t="s">
        <v>156</v>
      </c>
      <c r="C139" s="6" t="b">
        <f aca="false">--ISNUMBER(SEARCH(A139,LOWER(Inputs!$B$5&amp;" "&amp;Inputs!$B$6)))</f>
        <v>0</v>
      </c>
      <c r="D139" s="6" t="n">
        <f aca="false">IF(AND(B139="fraud",C139=1),'Model Parameters'!$B$13,0)</f>
        <v>0</v>
      </c>
      <c r="E139" s="6" t="n">
        <f aca="false">IF(AND(B139="injection",C139=1),'Model Parameters'!$C$13,0)</f>
        <v>0</v>
      </c>
      <c r="F139" s="6" t="n">
        <f aca="false">IF(C139=1,IF(B139="fraud",'Model Parameters'!$B$13,'Model Parameters'!$C$13),0)</f>
        <v>0</v>
      </c>
      <c r="G139" s="6" t="s">
        <v>59</v>
      </c>
    </row>
    <row r="140" customFormat="false" ht="34.5" hidden="false" customHeight="true" outlineLevel="0" collapsed="false">
      <c r="A140" s="6" t="s">
        <v>195</v>
      </c>
      <c r="B140" s="6" t="s">
        <v>156</v>
      </c>
      <c r="C140" s="6" t="b">
        <f aca="false">--ISNUMBER(SEARCH(A140,LOWER(Inputs!$B$5&amp;" "&amp;Inputs!$B$6)))</f>
        <v>0</v>
      </c>
      <c r="D140" s="6" t="n">
        <f aca="false">IF(AND(B140="fraud",C140=1),'Model Parameters'!$B$13,0)</f>
        <v>0</v>
      </c>
      <c r="E140" s="6" t="n">
        <f aca="false">IF(AND(B140="injection",C140=1),'Model Parameters'!$C$13,0)</f>
        <v>0</v>
      </c>
      <c r="F140" s="6" t="n">
        <f aca="false">IF(C140=1,IF(B140="fraud",'Model Parameters'!$B$13,'Model Parameters'!$C$13),0)</f>
        <v>0</v>
      </c>
      <c r="G140" s="6" t="s">
        <v>59</v>
      </c>
    </row>
    <row r="141" customFormat="false" ht="34.5" hidden="false" customHeight="true" outlineLevel="0" collapsed="false">
      <c r="A141" s="6" t="s">
        <v>196</v>
      </c>
      <c r="B141" s="6" t="s">
        <v>156</v>
      </c>
      <c r="C141" s="6" t="b">
        <f aca="false">--ISNUMBER(SEARCH(A141,LOWER(Inputs!$B$5&amp;" "&amp;Inputs!$B$6)))</f>
        <v>0</v>
      </c>
      <c r="D141" s="6" t="n">
        <f aca="false">IF(AND(B141="fraud",C141=1),'Model Parameters'!$B$13,0)</f>
        <v>0</v>
      </c>
      <c r="E141" s="6" t="n">
        <f aca="false">IF(AND(B141="injection",C141=1),'Model Parameters'!$C$13,0)</f>
        <v>0</v>
      </c>
      <c r="F141" s="6" t="n">
        <f aca="false">IF(C141=1,IF(B141="fraud",'Model Parameters'!$B$13,'Model Parameters'!$C$13),0)</f>
        <v>0</v>
      </c>
      <c r="G141" s="6" t="s">
        <v>59</v>
      </c>
    </row>
    <row r="142" customFormat="false" ht="34.5" hidden="false" customHeight="true" outlineLevel="0" collapsed="false">
      <c r="A142" s="6" t="s">
        <v>197</v>
      </c>
      <c r="B142" s="6" t="s">
        <v>156</v>
      </c>
      <c r="C142" s="6" t="b">
        <f aca="false">--ISNUMBER(SEARCH(A142,LOWER(Inputs!$B$5&amp;" "&amp;Inputs!$B$6)))</f>
        <v>0</v>
      </c>
      <c r="D142" s="6" t="n">
        <f aca="false">IF(AND(B142="fraud",C142=1),'Model Parameters'!$B$13,0)</f>
        <v>0</v>
      </c>
      <c r="E142" s="6" t="n">
        <f aca="false">IF(AND(B142="injection",C142=1),'Model Parameters'!$C$13,0)</f>
        <v>0</v>
      </c>
      <c r="F142" s="6" t="n">
        <f aca="false">IF(C142=1,IF(B142="fraud",'Model Parameters'!$B$13,'Model Parameters'!$C$13),0)</f>
        <v>0</v>
      </c>
      <c r="G142" s="6" t="s">
        <v>59</v>
      </c>
    </row>
    <row r="143" customFormat="false" ht="34.5" hidden="false" customHeight="true" outlineLevel="0" collapsed="false">
      <c r="A143" s="6" t="s">
        <v>198</v>
      </c>
      <c r="B143" s="6" t="s">
        <v>156</v>
      </c>
      <c r="C143" s="6" t="b">
        <f aca="false">--ISNUMBER(SEARCH(A143,LOWER(Inputs!$B$5&amp;" "&amp;Inputs!$B$6)))</f>
        <v>0</v>
      </c>
      <c r="D143" s="6" t="n">
        <f aca="false">IF(AND(B143="fraud",C143=1),'Model Parameters'!$B$13,0)</f>
        <v>0</v>
      </c>
      <c r="E143" s="6" t="n">
        <f aca="false">IF(AND(B143="injection",C143=1),'Model Parameters'!$C$13,0)</f>
        <v>0</v>
      </c>
      <c r="F143" s="6" t="n">
        <f aca="false">IF(C143=1,IF(B143="fraud",'Model Parameters'!$B$13,'Model Parameters'!$C$13),0)</f>
        <v>0</v>
      </c>
      <c r="G143" s="6" t="s">
        <v>59</v>
      </c>
    </row>
    <row r="144" customFormat="false" ht="34.5" hidden="false" customHeight="true" outlineLevel="0" collapsed="false">
      <c r="A144" s="6" t="s">
        <v>199</v>
      </c>
      <c r="B144" s="6" t="s">
        <v>156</v>
      </c>
      <c r="C144" s="6" t="b">
        <f aca="false">--ISNUMBER(SEARCH(A144,LOWER(Inputs!$B$5&amp;" "&amp;Inputs!$B$6)))</f>
        <v>0</v>
      </c>
      <c r="D144" s="6" t="n">
        <f aca="false">IF(AND(B144="fraud",C144=1),'Model Parameters'!$B$13,0)</f>
        <v>0</v>
      </c>
      <c r="E144" s="6" t="n">
        <f aca="false">IF(AND(B144="injection",C144=1),'Model Parameters'!$C$13,0)</f>
        <v>0</v>
      </c>
      <c r="F144" s="6" t="n">
        <f aca="false">IF(C144=1,IF(B144="fraud",'Model Parameters'!$B$13,'Model Parameters'!$C$13),0)</f>
        <v>0</v>
      </c>
      <c r="G144" s="6" t="s">
        <v>59</v>
      </c>
    </row>
    <row r="145" customFormat="false" ht="34.5" hidden="false" customHeight="true" outlineLevel="0" collapsed="false">
      <c r="A145" s="6" t="s">
        <v>200</v>
      </c>
      <c r="B145" s="6" t="s">
        <v>156</v>
      </c>
      <c r="C145" s="6" t="b">
        <f aca="false">--ISNUMBER(SEARCH(A145,LOWER(Inputs!$B$5&amp;" "&amp;Inputs!$B$6)))</f>
        <v>0</v>
      </c>
      <c r="D145" s="6" t="n">
        <f aca="false">IF(AND(B145="fraud",C145=1),'Model Parameters'!$B$13,0)</f>
        <v>0</v>
      </c>
      <c r="E145" s="6" t="n">
        <f aca="false">IF(AND(B145="injection",C145=1),'Model Parameters'!$C$13,0)</f>
        <v>0</v>
      </c>
      <c r="F145" s="6" t="n">
        <f aca="false">IF(C145=1,IF(B145="fraud",'Model Parameters'!$B$13,'Model Parameters'!$C$13),0)</f>
        <v>0</v>
      </c>
      <c r="G145" s="6" t="s">
        <v>59</v>
      </c>
    </row>
    <row r="146" customFormat="false" ht="34.5" hidden="false" customHeight="true" outlineLevel="0" collapsed="false">
      <c r="A146" s="6" t="s">
        <v>201</v>
      </c>
      <c r="B146" s="6" t="s">
        <v>156</v>
      </c>
      <c r="C146" s="6" t="b">
        <f aca="false">--ISNUMBER(SEARCH(A146,LOWER(Inputs!$B$5&amp;" "&amp;Inputs!$B$6)))</f>
        <v>0</v>
      </c>
      <c r="D146" s="6" t="n">
        <f aca="false">IF(AND(B146="fraud",C146=1),'Model Parameters'!$B$13,0)</f>
        <v>0</v>
      </c>
      <c r="E146" s="6" t="n">
        <f aca="false">IF(AND(B146="injection",C146=1),'Model Parameters'!$C$13,0)</f>
        <v>0</v>
      </c>
      <c r="F146" s="6" t="n">
        <f aca="false">IF(C146=1,IF(B146="fraud",'Model Parameters'!$B$13,'Model Parameters'!$C$13),0)</f>
        <v>0</v>
      </c>
      <c r="G146" s="6" t="s">
        <v>59</v>
      </c>
    </row>
    <row r="147" customFormat="false" ht="34.5" hidden="false" customHeight="true" outlineLevel="0" collapsed="false">
      <c r="A147" s="6" t="s">
        <v>202</v>
      </c>
      <c r="B147" s="6" t="s">
        <v>156</v>
      </c>
      <c r="C147" s="6" t="b">
        <f aca="false">--ISNUMBER(SEARCH(A147,LOWER(Inputs!$B$5&amp;" "&amp;Inputs!$B$6)))</f>
        <v>0</v>
      </c>
      <c r="D147" s="6" t="n">
        <f aca="false">IF(AND(B147="fraud",C147=1),'Model Parameters'!$B$13,0)</f>
        <v>0</v>
      </c>
      <c r="E147" s="6" t="n">
        <f aca="false">IF(AND(B147="injection",C147=1),'Model Parameters'!$C$13,0)</f>
        <v>0</v>
      </c>
      <c r="F147" s="6" t="n">
        <f aca="false">IF(C147=1,IF(B147="fraud",'Model Parameters'!$B$13,'Model Parameters'!$C$13),0)</f>
        <v>0</v>
      </c>
      <c r="G147" s="6" t="s">
        <v>59</v>
      </c>
    </row>
    <row r="148" customFormat="false" ht="34.5" hidden="false" customHeight="true" outlineLevel="0" collapsed="false">
      <c r="A148" s="6" t="s">
        <v>203</v>
      </c>
      <c r="B148" s="6" t="s">
        <v>156</v>
      </c>
      <c r="C148" s="6" t="b">
        <f aca="false">--ISNUMBER(SEARCH(A148,LOWER(Inputs!$B$5&amp;" "&amp;Inputs!$B$6)))</f>
        <v>0</v>
      </c>
      <c r="D148" s="6" t="n">
        <f aca="false">IF(AND(B148="fraud",C148=1),'Model Parameters'!$B$13,0)</f>
        <v>0</v>
      </c>
      <c r="E148" s="6" t="n">
        <f aca="false">IF(AND(B148="injection",C148=1),'Model Parameters'!$C$13,0)</f>
        <v>0</v>
      </c>
      <c r="F148" s="6" t="n">
        <f aca="false">IF(C148=1,IF(B148="fraud",'Model Parameters'!$B$13,'Model Parameters'!$C$13),0)</f>
        <v>0</v>
      </c>
      <c r="G148" s="6" t="s">
        <v>59</v>
      </c>
    </row>
    <row r="149" customFormat="false" ht="34.5" hidden="false" customHeight="true" outlineLevel="0" collapsed="false">
      <c r="A149" s="6" t="s">
        <v>204</v>
      </c>
      <c r="B149" s="6" t="s">
        <v>156</v>
      </c>
      <c r="C149" s="6" t="b">
        <f aca="false">--ISNUMBER(SEARCH(A149,LOWER(Inputs!$B$5&amp;" "&amp;Inputs!$B$6)))</f>
        <v>0</v>
      </c>
      <c r="D149" s="6" t="n">
        <f aca="false">IF(AND(B149="fraud",C149=1),'Model Parameters'!$B$13,0)</f>
        <v>0</v>
      </c>
      <c r="E149" s="6" t="n">
        <f aca="false">IF(AND(B149="injection",C149=1),'Model Parameters'!$C$13,0)</f>
        <v>0</v>
      </c>
      <c r="F149" s="6" t="n">
        <f aca="false">IF(C149=1,IF(B149="fraud",'Model Parameters'!$B$13,'Model Parameters'!$C$13),0)</f>
        <v>0</v>
      </c>
      <c r="G149" s="6" t="s">
        <v>59</v>
      </c>
    </row>
    <row r="150" customFormat="false" ht="34.5" hidden="false" customHeight="true" outlineLevel="0" collapsed="false">
      <c r="A150" s="6" t="s">
        <v>205</v>
      </c>
      <c r="B150" s="6" t="s">
        <v>156</v>
      </c>
      <c r="C150" s="6" t="b">
        <f aca="false">--ISNUMBER(SEARCH(A150,LOWER(Inputs!$B$5&amp;" "&amp;Inputs!$B$6)))</f>
        <v>0</v>
      </c>
      <c r="D150" s="6" t="n">
        <f aca="false">IF(AND(B150="fraud",C150=1),'Model Parameters'!$B$13,0)</f>
        <v>0</v>
      </c>
      <c r="E150" s="6" t="n">
        <f aca="false">IF(AND(B150="injection",C150=1),'Model Parameters'!$C$13,0)</f>
        <v>0</v>
      </c>
      <c r="F150" s="6" t="n">
        <f aca="false">IF(C150=1,IF(B150="fraud",'Model Parameters'!$B$13,'Model Parameters'!$C$13),0)</f>
        <v>0</v>
      </c>
      <c r="G150" s="6" t="s">
        <v>59</v>
      </c>
    </row>
    <row r="151" customFormat="false" ht="34.5" hidden="false" customHeight="true" outlineLevel="0" collapsed="false">
      <c r="A151" s="6" t="s">
        <v>206</v>
      </c>
      <c r="B151" s="6" t="s">
        <v>156</v>
      </c>
      <c r="C151" s="6" t="b">
        <f aca="false">--ISNUMBER(SEARCH(A151,LOWER(Inputs!$B$5&amp;" "&amp;Inputs!$B$6)))</f>
        <v>0</v>
      </c>
      <c r="D151" s="6" t="n">
        <f aca="false">IF(AND(B151="fraud",C151=1),'Model Parameters'!$B$13,0)</f>
        <v>0</v>
      </c>
      <c r="E151" s="6" t="n">
        <f aca="false">IF(AND(B151="injection",C151=1),'Model Parameters'!$C$13,0)</f>
        <v>0</v>
      </c>
      <c r="F151" s="6" t="n">
        <f aca="false">IF(C151=1,IF(B151="fraud",'Model Parameters'!$B$13,'Model Parameters'!$C$13),0)</f>
        <v>0</v>
      </c>
      <c r="G151" s="6" t="s">
        <v>59</v>
      </c>
    </row>
    <row r="152" customFormat="false" ht="34.5" hidden="false" customHeight="true" outlineLevel="0" collapsed="false">
      <c r="A152" s="6" t="s">
        <v>207</v>
      </c>
      <c r="B152" s="6" t="s">
        <v>156</v>
      </c>
      <c r="C152" s="6" t="b">
        <f aca="false">--ISNUMBER(SEARCH(A152,LOWER(Inputs!$B$5&amp;" "&amp;Inputs!$B$6)))</f>
        <v>0</v>
      </c>
      <c r="D152" s="6" t="n">
        <f aca="false">IF(AND(B152="fraud",C152=1),'Model Parameters'!$B$13,0)</f>
        <v>0</v>
      </c>
      <c r="E152" s="6" t="n">
        <f aca="false">IF(AND(B152="injection",C152=1),'Model Parameters'!$C$13,0)</f>
        <v>0</v>
      </c>
      <c r="F152" s="6" t="n">
        <f aca="false">IF(C152=1,IF(B152="fraud",'Model Parameters'!$B$13,'Model Parameters'!$C$13),0)</f>
        <v>0</v>
      </c>
      <c r="G152" s="6" t="s">
        <v>59</v>
      </c>
    </row>
    <row r="153" customFormat="false" ht="34.5" hidden="false" customHeight="true" outlineLevel="0" collapsed="false">
      <c r="A153" s="6" t="s">
        <v>208</v>
      </c>
      <c r="B153" s="6" t="s">
        <v>156</v>
      </c>
      <c r="C153" s="6" t="b">
        <f aca="false">--ISNUMBER(SEARCH(A153,LOWER(Inputs!$B$5&amp;" "&amp;Inputs!$B$6)))</f>
        <v>0</v>
      </c>
      <c r="D153" s="6" t="n">
        <f aca="false">IF(AND(B153="fraud",C153=1),'Model Parameters'!$B$13,0)</f>
        <v>0</v>
      </c>
      <c r="E153" s="6" t="n">
        <f aca="false">IF(AND(B153="injection",C153=1),'Model Parameters'!$C$13,0)</f>
        <v>0</v>
      </c>
      <c r="F153" s="6" t="n">
        <f aca="false">IF(C153=1,IF(B153="fraud",'Model Parameters'!$B$13,'Model Parameters'!$C$13),0)</f>
        <v>0</v>
      </c>
      <c r="G153" s="6" t="s">
        <v>59</v>
      </c>
    </row>
    <row r="154" customFormat="false" ht="34.5" hidden="false" customHeight="true" outlineLevel="0" collapsed="false">
      <c r="A154" s="6" t="s">
        <v>209</v>
      </c>
      <c r="B154" s="6" t="s">
        <v>156</v>
      </c>
      <c r="C154" s="6" t="b">
        <f aca="false">--ISNUMBER(SEARCH(A154,LOWER(Inputs!$B$5&amp;" "&amp;Inputs!$B$6)))</f>
        <v>0</v>
      </c>
      <c r="D154" s="6" t="n">
        <f aca="false">IF(AND(B154="fraud",C154=1),'Model Parameters'!$B$13,0)</f>
        <v>0</v>
      </c>
      <c r="E154" s="6" t="n">
        <f aca="false">IF(AND(B154="injection",C154=1),'Model Parameters'!$C$13,0)</f>
        <v>0</v>
      </c>
      <c r="F154" s="6" t="n">
        <f aca="false">IF(C154=1,IF(B154="fraud",'Model Parameters'!$B$13,'Model Parameters'!$C$13),0)</f>
        <v>0</v>
      </c>
      <c r="G154" s="6" t="s">
        <v>59</v>
      </c>
    </row>
    <row r="155" customFormat="false" ht="34.5" hidden="false" customHeight="true" outlineLevel="0" collapsed="false">
      <c r="A155" s="6" t="s">
        <v>210</v>
      </c>
      <c r="B155" s="6" t="s">
        <v>156</v>
      </c>
      <c r="C155" s="6" t="b">
        <f aca="false">--ISNUMBER(SEARCH(A155,LOWER(Inputs!$B$5&amp;" "&amp;Inputs!$B$6)))</f>
        <v>0</v>
      </c>
      <c r="D155" s="6" t="n">
        <f aca="false">IF(AND(B155="fraud",C155=1),'Model Parameters'!$B$13,0)</f>
        <v>0</v>
      </c>
      <c r="E155" s="6" t="n">
        <f aca="false">IF(AND(B155="injection",C155=1),'Model Parameters'!$C$13,0)</f>
        <v>0</v>
      </c>
      <c r="F155" s="6" t="n">
        <f aca="false">IF(C155=1,IF(B155="fraud",'Model Parameters'!$B$13,'Model Parameters'!$C$13),0)</f>
        <v>0</v>
      </c>
      <c r="G155" s="6" t="s">
        <v>59</v>
      </c>
    </row>
    <row r="156" customFormat="false" ht="34.5" hidden="false" customHeight="true" outlineLevel="0" collapsed="false">
      <c r="A156" s="6" t="s">
        <v>211</v>
      </c>
      <c r="B156" s="6" t="s">
        <v>156</v>
      </c>
      <c r="C156" s="6" t="b">
        <f aca="false">--ISNUMBER(SEARCH(A156,LOWER(Inputs!$B$5&amp;" "&amp;Inputs!$B$6)))</f>
        <v>0</v>
      </c>
      <c r="D156" s="6" t="n">
        <f aca="false">IF(AND(B156="fraud",C156=1),'Model Parameters'!$B$13,0)</f>
        <v>0</v>
      </c>
      <c r="E156" s="6" t="n">
        <f aca="false">IF(AND(B156="injection",C156=1),'Model Parameters'!$C$13,0)</f>
        <v>0</v>
      </c>
      <c r="F156" s="6" t="n">
        <f aca="false">IF(C156=1,IF(B156="fraud",'Model Parameters'!$B$13,'Model Parameters'!$C$13),0)</f>
        <v>0</v>
      </c>
      <c r="G156" s="6" t="s">
        <v>59</v>
      </c>
    </row>
    <row r="157" customFormat="false" ht="34.5" hidden="false" customHeight="true" outlineLevel="0" collapsed="false">
      <c r="A157" s="6" t="s">
        <v>212</v>
      </c>
      <c r="B157" s="6" t="s">
        <v>156</v>
      </c>
      <c r="C157" s="6" t="b">
        <f aca="false">--ISNUMBER(SEARCH(A157,LOWER(Inputs!$B$5&amp;" "&amp;Inputs!$B$6)))</f>
        <v>0</v>
      </c>
      <c r="D157" s="6" t="n">
        <f aca="false">IF(AND(B157="fraud",C157=1),'Model Parameters'!$B$13,0)</f>
        <v>0</v>
      </c>
      <c r="E157" s="6" t="n">
        <f aca="false">IF(AND(B157="injection",C157=1),'Model Parameters'!$C$13,0)</f>
        <v>0</v>
      </c>
      <c r="F157" s="6" t="n">
        <f aca="false">IF(C157=1,IF(B157="fraud",'Model Parameters'!$B$13,'Model Parameters'!$C$13),0)</f>
        <v>0</v>
      </c>
      <c r="G157" s="6" t="s">
        <v>59</v>
      </c>
    </row>
    <row r="158" customFormat="false" ht="34.5" hidden="false" customHeight="true" outlineLevel="0" collapsed="false">
      <c r="A158" s="6" t="s">
        <v>213</v>
      </c>
      <c r="B158" s="6" t="s">
        <v>156</v>
      </c>
      <c r="C158" s="6" t="b">
        <f aca="false">--ISNUMBER(SEARCH(A158,LOWER(Inputs!$B$5&amp;" "&amp;Inputs!$B$6)))</f>
        <v>0</v>
      </c>
      <c r="D158" s="6" t="n">
        <f aca="false">IF(AND(B158="fraud",C158=1),'Model Parameters'!$B$13,0)</f>
        <v>0</v>
      </c>
      <c r="E158" s="6" t="n">
        <f aca="false">IF(AND(B158="injection",C158=1),'Model Parameters'!$C$13,0)</f>
        <v>0</v>
      </c>
      <c r="F158" s="6" t="n">
        <f aca="false">IF(C158=1,IF(B158="fraud",'Model Parameters'!$B$13,'Model Parameters'!$C$13),0)</f>
        <v>0</v>
      </c>
      <c r="G158" s="6" t="s">
        <v>59</v>
      </c>
    </row>
    <row r="159" customFormat="false" ht="34.5" hidden="false" customHeight="true" outlineLevel="0" collapsed="false">
      <c r="A159" s="6" t="s">
        <v>214</v>
      </c>
      <c r="B159" s="6" t="s">
        <v>156</v>
      </c>
      <c r="C159" s="6" t="b">
        <f aca="false">--ISNUMBER(SEARCH(A159,LOWER(Inputs!$B$5&amp;" "&amp;Inputs!$B$6)))</f>
        <v>0</v>
      </c>
      <c r="D159" s="6" t="n">
        <f aca="false">IF(AND(B159="fraud",C159=1),'Model Parameters'!$B$13,0)</f>
        <v>0</v>
      </c>
      <c r="E159" s="6" t="n">
        <f aca="false">IF(AND(B159="injection",C159=1),'Model Parameters'!$C$13,0)</f>
        <v>0</v>
      </c>
      <c r="F159" s="6" t="n">
        <f aca="false">IF(C159=1,IF(B159="fraud",'Model Parameters'!$B$13,'Model Parameters'!$C$13),0)</f>
        <v>0</v>
      </c>
      <c r="G159" s="6" t="s">
        <v>59</v>
      </c>
    </row>
    <row r="160" customFormat="false" ht="34.5" hidden="false" customHeight="true" outlineLevel="0" collapsed="false">
      <c r="A160" s="6" t="s">
        <v>215</v>
      </c>
      <c r="B160" s="6" t="s">
        <v>156</v>
      </c>
      <c r="C160" s="6" t="b">
        <f aca="false">--ISNUMBER(SEARCH(A160,LOWER(Inputs!$B$5&amp;" "&amp;Inputs!$B$6)))</f>
        <v>0</v>
      </c>
      <c r="D160" s="6" t="n">
        <f aca="false">IF(AND(B160="fraud",C160=1),'Model Parameters'!$B$13,0)</f>
        <v>0</v>
      </c>
      <c r="E160" s="6" t="n">
        <f aca="false">IF(AND(B160="injection",C160=1),'Model Parameters'!$C$13,0)</f>
        <v>0</v>
      </c>
      <c r="F160" s="6" t="n">
        <f aca="false">IF(C160=1,IF(B160="fraud",'Model Parameters'!$B$13,'Model Parameters'!$C$13),0)</f>
        <v>0</v>
      </c>
      <c r="G160" s="6" t="s">
        <v>59</v>
      </c>
    </row>
    <row r="161" customFormat="false" ht="34.5" hidden="false" customHeight="true" outlineLevel="0" collapsed="false">
      <c r="A161" s="6" t="s">
        <v>216</v>
      </c>
      <c r="B161" s="6" t="s">
        <v>156</v>
      </c>
      <c r="C161" s="6" t="b">
        <f aca="false">--ISNUMBER(SEARCH(A161,LOWER(Inputs!$B$5&amp;" "&amp;Inputs!$B$6)))</f>
        <v>0</v>
      </c>
      <c r="D161" s="6" t="n">
        <f aca="false">IF(AND(B161="fraud",C161=1),'Model Parameters'!$B$13,0)</f>
        <v>0</v>
      </c>
      <c r="E161" s="6" t="n">
        <f aca="false">IF(AND(B161="injection",C161=1),'Model Parameters'!$C$13,0)</f>
        <v>0</v>
      </c>
      <c r="F161" s="6" t="n">
        <f aca="false">IF(C161=1,IF(B161="fraud",'Model Parameters'!$B$13,'Model Parameters'!$C$13),0)</f>
        <v>0</v>
      </c>
      <c r="G161" s="6" t="s">
        <v>59</v>
      </c>
    </row>
    <row r="162" customFormat="false" ht="34.5" hidden="false" customHeight="true" outlineLevel="0" collapsed="false">
      <c r="A162" s="6" t="s">
        <v>217</v>
      </c>
      <c r="B162" s="6" t="s">
        <v>156</v>
      </c>
      <c r="C162" s="6" t="b">
        <f aca="false">--ISNUMBER(SEARCH(A162,LOWER(Inputs!$B$5&amp;" "&amp;Inputs!$B$6)))</f>
        <v>0</v>
      </c>
      <c r="D162" s="6" t="n">
        <f aca="false">IF(AND(B162="fraud",C162=1),'Model Parameters'!$B$13,0)</f>
        <v>0</v>
      </c>
      <c r="E162" s="6" t="n">
        <f aca="false">IF(AND(B162="injection",C162=1),'Model Parameters'!$C$13,0)</f>
        <v>0</v>
      </c>
      <c r="F162" s="6" t="n">
        <f aca="false">IF(C162=1,IF(B162="fraud",'Model Parameters'!$B$13,'Model Parameters'!$C$13),0)</f>
        <v>0</v>
      </c>
      <c r="G162" s="6" t="s">
        <v>59</v>
      </c>
    </row>
    <row r="163" customFormat="false" ht="34.5" hidden="false" customHeight="true" outlineLevel="0" collapsed="false">
      <c r="A163" s="6" t="s">
        <v>218</v>
      </c>
      <c r="B163" s="6" t="s">
        <v>156</v>
      </c>
      <c r="C163" s="6" t="b">
        <f aca="false">--ISNUMBER(SEARCH(A163,LOWER(Inputs!$B$5&amp;" "&amp;Inputs!$B$6)))</f>
        <v>0</v>
      </c>
      <c r="D163" s="6" t="n">
        <f aca="false">IF(AND(B163="fraud",C163=1),'Model Parameters'!$B$13,0)</f>
        <v>0</v>
      </c>
      <c r="E163" s="6" t="n">
        <f aca="false">IF(AND(B163="injection",C163=1),'Model Parameters'!$C$13,0)</f>
        <v>0</v>
      </c>
      <c r="F163" s="6" t="n">
        <f aca="false">IF(C163=1,IF(B163="fraud",'Model Parameters'!$B$13,'Model Parameters'!$C$13),0)</f>
        <v>0</v>
      </c>
      <c r="G163" s="6" t="s">
        <v>59</v>
      </c>
    </row>
    <row r="164" customFormat="false" ht="34.5" hidden="false" customHeight="true" outlineLevel="0" collapsed="false">
      <c r="A164" s="6" t="s">
        <v>219</v>
      </c>
      <c r="B164" s="6" t="s">
        <v>156</v>
      </c>
      <c r="C164" s="6" t="b">
        <f aca="false">--ISNUMBER(SEARCH(A164,LOWER(Inputs!$B$5&amp;" "&amp;Inputs!$B$6)))</f>
        <v>0</v>
      </c>
      <c r="D164" s="6" t="n">
        <f aca="false">IF(AND(B164="fraud",C164=1),'Model Parameters'!$B$13,0)</f>
        <v>0</v>
      </c>
      <c r="E164" s="6" t="n">
        <f aca="false">IF(AND(B164="injection",C164=1),'Model Parameters'!$C$13,0)</f>
        <v>0</v>
      </c>
      <c r="F164" s="6" t="n">
        <f aca="false">IF(C164=1,IF(B164="fraud",'Model Parameters'!$B$13,'Model Parameters'!$C$13),0)</f>
        <v>0</v>
      </c>
      <c r="G164" s="6" t="s">
        <v>59</v>
      </c>
    </row>
    <row r="165" customFormat="false" ht="34.5" hidden="false" customHeight="true" outlineLevel="0" collapsed="false">
      <c r="A165" s="6" t="s">
        <v>220</v>
      </c>
      <c r="B165" s="6" t="s">
        <v>156</v>
      </c>
      <c r="C165" s="6" t="b">
        <f aca="false">--ISNUMBER(SEARCH(A165,LOWER(Inputs!$B$5&amp;" "&amp;Inputs!$B$6)))</f>
        <v>0</v>
      </c>
      <c r="D165" s="6" t="n">
        <f aca="false">IF(AND(B165="fraud",C165=1),'Model Parameters'!$B$13,0)</f>
        <v>0</v>
      </c>
      <c r="E165" s="6" t="n">
        <f aca="false">IF(AND(B165="injection",C165=1),'Model Parameters'!$C$13,0)</f>
        <v>0</v>
      </c>
      <c r="F165" s="6" t="n">
        <f aca="false">IF(C165=1,IF(B165="fraud",'Model Parameters'!$B$13,'Model Parameters'!$C$13),0)</f>
        <v>0</v>
      </c>
      <c r="G165" s="6" t="s">
        <v>59</v>
      </c>
    </row>
    <row r="166" customFormat="false" ht="34.5" hidden="false" customHeight="true" outlineLevel="0" collapsed="false">
      <c r="A166" s="6" t="s">
        <v>221</v>
      </c>
      <c r="B166" s="6" t="s">
        <v>156</v>
      </c>
      <c r="C166" s="6" t="b">
        <f aca="false">--ISNUMBER(SEARCH(A166,LOWER(Inputs!$B$5&amp;" "&amp;Inputs!$B$6)))</f>
        <v>0</v>
      </c>
      <c r="D166" s="6" t="n">
        <f aca="false">IF(AND(B166="fraud",C166=1),'Model Parameters'!$B$13,0)</f>
        <v>0</v>
      </c>
      <c r="E166" s="6" t="n">
        <f aca="false">IF(AND(B166="injection",C166=1),'Model Parameters'!$C$13,0)</f>
        <v>0</v>
      </c>
      <c r="F166" s="6" t="n">
        <f aca="false">IF(C166=1,IF(B166="fraud",'Model Parameters'!$B$13,'Model Parameters'!$C$13),0)</f>
        <v>0</v>
      </c>
      <c r="G166" s="6" t="s">
        <v>59</v>
      </c>
    </row>
    <row r="167" customFormat="false" ht="34.5" hidden="false" customHeight="true" outlineLevel="0" collapsed="false">
      <c r="A167" s="6" t="s">
        <v>222</v>
      </c>
      <c r="B167" s="6" t="s">
        <v>156</v>
      </c>
      <c r="C167" s="6" t="b">
        <f aca="false">--ISNUMBER(SEARCH(A167,LOWER(Inputs!$B$5&amp;" "&amp;Inputs!$B$6)))</f>
        <v>0</v>
      </c>
      <c r="D167" s="6" t="n">
        <f aca="false">IF(AND(B167="fraud",C167=1),'Model Parameters'!$B$13,0)</f>
        <v>0</v>
      </c>
      <c r="E167" s="6" t="n">
        <f aca="false">IF(AND(B167="injection",C167=1),'Model Parameters'!$C$13,0)</f>
        <v>0</v>
      </c>
      <c r="F167" s="6" t="n">
        <f aca="false">IF(C167=1,IF(B167="fraud",'Model Parameters'!$B$13,'Model Parameters'!$C$13),0)</f>
        <v>0</v>
      </c>
      <c r="G167" s="6" t="s">
        <v>59</v>
      </c>
    </row>
    <row r="168" customFormat="false" ht="34.5" hidden="false" customHeight="true" outlineLevel="0" collapsed="false">
      <c r="A168" s="6" t="s">
        <v>223</v>
      </c>
      <c r="B168" s="6" t="s">
        <v>156</v>
      </c>
      <c r="C168" s="6" t="b">
        <f aca="false">--ISNUMBER(SEARCH(A168,LOWER(Inputs!$B$5&amp;" "&amp;Inputs!$B$6)))</f>
        <v>0</v>
      </c>
      <c r="D168" s="6" t="n">
        <f aca="false">IF(AND(B168="fraud",C168=1),'Model Parameters'!$B$13,0)</f>
        <v>0</v>
      </c>
      <c r="E168" s="6" t="n">
        <f aca="false">IF(AND(B168="injection",C168=1),'Model Parameters'!$C$13,0)</f>
        <v>0</v>
      </c>
      <c r="F168" s="6" t="n">
        <f aca="false">IF(C168=1,IF(B168="fraud",'Model Parameters'!$B$13,'Model Parameters'!$C$13),0)</f>
        <v>0</v>
      </c>
      <c r="G168" s="6" t="s">
        <v>59</v>
      </c>
    </row>
    <row r="169" customFormat="false" ht="34.5" hidden="false" customHeight="true" outlineLevel="0" collapsed="false">
      <c r="A169" s="6" t="s">
        <v>224</v>
      </c>
      <c r="B169" s="6" t="s">
        <v>156</v>
      </c>
      <c r="C169" s="6" t="b">
        <f aca="false">--ISNUMBER(SEARCH(A169,LOWER(Inputs!$B$5&amp;" "&amp;Inputs!$B$6)))</f>
        <v>0</v>
      </c>
      <c r="D169" s="6" t="n">
        <f aca="false">IF(AND(B169="fraud",C169=1),'Model Parameters'!$B$13,0)</f>
        <v>0</v>
      </c>
      <c r="E169" s="6" t="n">
        <f aca="false">IF(AND(B169="injection",C169=1),'Model Parameters'!$C$13,0)</f>
        <v>0</v>
      </c>
      <c r="F169" s="6" t="n">
        <f aca="false">IF(C169=1,IF(B169="fraud",'Model Parameters'!$B$13,'Model Parameters'!$C$13),0)</f>
        <v>0</v>
      </c>
      <c r="G169" s="6" t="s">
        <v>59</v>
      </c>
    </row>
    <row r="170" customFormat="false" ht="34.5" hidden="false" customHeight="true" outlineLevel="0" collapsed="false">
      <c r="A170" s="6" t="s">
        <v>225</v>
      </c>
      <c r="B170" s="6" t="s">
        <v>156</v>
      </c>
      <c r="C170" s="6" t="b">
        <f aca="false">--ISNUMBER(SEARCH(A170,LOWER(Inputs!$B$5&amp;" "&amp;Inputs!$B$6)))</f>
        <v>0</v>
      </c>
      <c r="D170" s="6" t="n">
        <f aca="false">IF(AND(B170="fraud",C170=1),'Model Parameters'!$B$13,0)</f>
        <v>0</v>
      </c>
      <c r="E170" s="6" t="n">
        <f aca="false">IF(AND(B170="injection",C170=1),'Model Parameters'!$C$13,0)</f>
        <v>0</v>
      </c>
      <c r="F170" s="6" t="n">
        <f aca="false">IF(C170=1,IF(B170="fraud",'Model Parameters'!$B$13,'Model Parameters'!$C$13),0)</f>
        <v>0</v>
      </c>
      <c r="G170" s="6" t="s">
        <v>59</v>
      </c>
    </row>
    <row r="171" customFormat="false" ht="34.5" hidden="false" customHeight="true" outlineLevel="0" collapsed="false">
      <c r="A171" s="6" t="s">
        <v>226</v>
      </c>
      <c r="B171" s="6" t="s">
        <v>156</v>
      </c>
      <c r="C171" s="6" t="b">
        <f aca="false">--ISNUMBER(SEARCH(A171,LOWER(Inputs!$B$5&amp;" "&amp;Inputs!$B$6)))</f>
        <v>0</v>
      </c>
      <c r="D171" s="6" t="n">
        <f aca="false">IF(AND(B171="fraud",C171=1),'Model Parameters'!$B$13,0)</f>
        <v>0</v>
      </c>
      <c r="E171" s="6" t="n">
        <f aca="false">IF(AND(B171="injection",C171=1),'Model Parameters'!$C$13,0)</f>
        <v>0</v>
      </c>
      <c r="F171" s="6" t="n">
        <f aca="false">IF(C171=1,IF(B171="fraud",'Model Parameters'!$B$13,'Model Parameters'!$C$13),0)</f>
        <v>0</v>
      </c>
      <c r="G171" s="6" t="s">
        <v>59</v>
      </c>
    </row>
    <row r="172" customFormat="false" ht="34.5" hidden="false" customHeight="true" outlineLevel="0" collapsed="false">
      <c r="A172" s="6" t="s">
        <v>227</v>
      </c>
      <c r="B172" s="6" t="s">
        <v>156</v>
      </c>
      <c r="C172" s="6" t="b">
        <f aca="false">--ISNUMBER(SEARCH(A172,LOWER(Inputs!$B$5&amp;" "&amp;Inputs!$B$6)))</f>
        <v>0</v>
      </c>
      <c r="D172" s="6" t="n">
        <f aca="false">IF(AND(B172="fraud",C172=1),'Model Parameters'!$B$13,0)</f>
        <v>0</v>
      </c>
      <c r="E172" s="6" t="n">
        <f aca="false">IF(AND(B172="injection",C172=1),'Model Parameters'!$C$13,0)</f>
        <v>0</v>
      </c>
      <c r="F172" s="6" t="n">
        <f aca="false">IF(C172=1,IF(B172="fraud",'Model Parameters'!$B$13,'Model Parameters'!$C$13),0)</f>
        <v>0</v>
      </c>
      <c r="G172" s="6" t="s">
        <v>59</v>
      </c>
    </row>
    <row r="173" customFormat="false" ht="34.5" hidden="false" customHeight="true" outlineLevel="0" collapsed="false">
      <c r="A173" s="6" t="s">
        <v>228</v>
      </c>
      <c r="B173" s="6" t="s">
        <v>156</v>
      </c>
      <c r="C173" s="6" t="b">
        <f aca="false">--ISNUMBER(SEARCH(A173,LOWER(Inputs!$B$5&amp;" "&amp;Inputs!$B$6)))</f>
        <v>0</v>
      </c>
      <c r="D173" s="6" t="n">
        <f aca="false">IF(AND(B173="fraud",C173=1),'Model Parameters'!$B$13,0)</f>
        <v>0</v>
      </c>
      <c r="E173" s="6" t="n">
        <f aca="false">IF(AND(B173="injection",C173=1),'Model Parameters'!$C$13,0)</f>
        <v>0</v>
      </c>
      <c r="F173" s="6" t="n">
        <f aca="false">IF(C173=1,IF(B173="fraud",'Model Parameters'!$B$13,'Model Parameters'!$C$13),0)</f>
        <v>0</v>
      </c>
      <c r="G173" s="6" t="s">
        <v>59</v>
      </c>
    </row>
    <row r="174" customFormat="false" ht="34.5" hidden="false" customHeight="true" outlineLevel="0" collapsed="false">
      <c r="A174" s="6" t="s">
        <v>229</v>
      </c>
      <c r="B174" s="6" t="s">
        <v>156</v>
      </c>
      <c r="C174" s="6" t="b">
        <f aca="false">--ISNUMBER(SEARCH(A174,LOWER(Inputs!$B$5&amp;" "&amp;Inputs!$B$6)))</f>
        <v>0</v>
      </c>
      <c r="D174" s="6" t="n">
        <f aca="false">IF(AND(B174="fraud",C174=1),'Model Parameters'!$B$13,0)</f>
        <v>0</v>
      </c>
      <c r="E174" s="6" t="n">
        <f aca="false">IF(AND(B174="injection",C174=1),'Model Parameters'!$C$13,0)</f>
        <v>0</v>
      </c>
      <c r="F174" s="6" t="n">
        <f aca="false">IF(C174=1,IF(B174="fraud",'Model Parameters'!$B$13,'Model Parameters'!$C$13),0)</f>
        <v>0</v>
      </c>
      <c r="G174" s="6" t="s">
        <v>59</v>
      </c>
    </row>
    <row r="175" customFormat="false" ht="34.5" hidden="false" customHeight="true" outlineLevel="0" collapsed="false">
      <c r="A175" s="6" t="s">
        <v>230</v>
      </c>
      <c r="B175" s="6" t="s">
        <v>156</v>
      </c>
      <c r="C175" s="6" t="b">
        <f aca="false">--ISNUMBER(SEARCH(A175,LOWER(Inputs!$B$5&amp;" "&amp;Inputs!$B$6)))</f>
        <v>0</v>
      </c>
      <c r="D175" s="6" t="n">
        <f aca="false">IF(AND(B175="fraud",C175=1),'Model Parameters'!$B$13,0)</f>
        <v>0</v>
      </c>
      <c r="E175" s="6" t="n">
        <f aca="false">IF(AND(B175="injection",C175=1),'Model Parameters'!$C$13,0)</f>
        <v>0</v>
      </c>
      <c r="F175" s="6" t="n">
        <f aca="false">IF(C175=1,IF(B175="fraud",'Model Parameters'!$B$13,'Model Parameters'!$C$13),0)</f>
        <v>0</v>
      </c>
      <c r="G175" s="6" t="s">
        <v>59</v>
      </c>
    </row>
    <row r="176" customFormat="false" ht="34.5" hidden="false" customHeight="true" outlineLevel="0" collapsed="false">
      <c r="A176" s="6" t="s">
        <v>231</v>
      </c>
      <c r="B176" s="6" t="s">
        <v>156</v>
      </c>
      <c r="C176" s="6" t="b">
        <f aca="false">--ISNUMBER(SEARCH(A176,LOWER(Inputs!$B$5&amp;" "&amp;Inputs!$B$6)))</f>
        <v>0</v>
      </c>
      <c r="D176" s="6" t="n">
        <f aca="false">IF(AND(B176="fraud",C176=1),'Model Parameters'!$B$13,0)</f>
        <v>0</v>
      </c>
      <c r="E176" s="6" t="n">
        <f aca="false">IF(AND(B176="injection",C176=1),'Model Parameters'!$C$13,0)</f>
        <v>0</v>
      </c>
      <c r="F176" s="6" t="n">
        <f aca="false">IF(C176=1,IF(B176="fraud",'Model Parameters'!$B$13,'Model Parameters'!$C$13),0)</f>
        <v>0</v>
      </c>
      <c r="G176" s="6" t="s">
        <v>59</v>
      </c>
    </row>
    <row r="177" customFormat="false" ht="34.5" hidden="false" customHeight="true" outlineLevel="0" collapsed="false">
      <c r="A177" s="6" t="s">
        <v>232</v>
      </c>
      <c r="B177" s="6" t="s">
        <v>156</v>
      </c>
      <c r="C177" s="6" t="b">
        <f aca="false">--ISNUMBER(SEARCH(A177,LOWER(Inputs!$B$5&amp;" "&amp;Inputs!$B$6)))</f>
        <v>0</v>
      </c>
      <c r="D177" s="6" t="n">
        <f aca="false">IF(AND(B177="fraud",C177=1),'Model Parameters'!$B$13,0)</f>
        <v>0</v>
      </c>
      <c r="E177" s="6" t="n">
        <f aca="false">IF(AND(B177="injection",C177=1),'Model Parameters'!$C$13,0)</f>
        <v>0</v>
      </c>
      <c r="F177" s="6" t="n">
        <f aca="false">IF(C177=1,IF(B177="fraud",'Model Parameters'!$B$13,'Model Parameters'!$C$13),0)</f>
        <v>0</v>
      </c>
      <c r="G177" s="6" t="s">
        <v>59</v>
      </c>
    </row>
    <row r="178" customFormat="false" ht="34.5" hidden="false" customHeight="true" outlineLevel="0" collapsed="false">
      <c r="A178" s="6" t="s">
        <v>233</v>
      </c>
      <c r="B178" s="6" t="s">
        <v>156</v>
      </c>
      <c r="C178" s="6" t="b">
        <f aca="false">--ISNUMBER(SEARCH(A178,LOWER(Inputs!$B$5&amp;" "&amp;Inputs!$B$6)))</f>
        <v>0</v>
      </c>
      <c r="D178" s="6" t="n">
        <f aca="false">IF(AND(B178="fraud",C178=1),'Model Parameters'!$B$13,0)</f>
        <v>0</v>
      </c>
      <c r="E178" s="6" t="n">
        <f aca="false">IF(AND(B178="injection",C178=1),'Model Parameters'!$C$13,0)</f>
        <v>0</v>
      </c>
      <c r="F178" s="6" t="n">
        <f aca="false">IF(C178=1,IF(B178="fraud",'Model Parameters'!$B$13,'Model Parameters'!$C$13),0)</f>
        <v>0</v>
      </c>
      <c r="G178" s="6" t="s">
        <v>59</v>
      </c>
    </row>
    <row r="179" customFormat="false" ht="34.5" hidden="false" customHeight="true" outlineLevel="0" collapsed="false">
      <c r="A179" s="6" t="s">
        <v>234</v>
      </c>
      <c r="B179" s="6" t="s">
        <v>156</v>
      </c>
      <c r="C179" s="6" t="b">
        <f aca="false">--ISNUMBER(SEARCH(A179,LOWER(Inputs!$B$5&amp;" "&amp;Inputs!$B$6)))</f>
        <v>0</v>
      </c>
      <c r="D179" s="6" t="n">
        <f aca="false">IF(AND(B179="fraud",C179=1),'Model Parameters'!$B$13,0)</f>
        <v>0</v>
      </c>
      <c r="E179" s="6" t="n">
        <f aca="false">IF(AND(B179="injection",C179=1),'Model Parameters'!$C$13,0)</f>
        <v>0</v>
      </c>
      <c r="F179" s="6" t="n">
        <f aca="false">IF(C179=1,IF(B179="fraud",'Model Parameters'!$B$13,'Model Parameters'!$C$13),0)</f>
        <v>0</v>
      </c>
      <c r="G179" s="6" t="s">
        <v>59</v>
      </c>
    </row>
    <row r="180" customFormat="false" ht="34.5" hidden="false" customHeight="true" outlineLevel="0" collapsed="false">
      <c r="A180" s="6" t="s">
        <v>235</v>
      </c>
      <c r="B180" s="6" t="s">
        <v>156</v>
      </c>
      <c r="C180" s="6" t="b">
        <f aca="false">--ISNUMBER(SEARCH(A180,LOWER(Inputs!$B$5&amp;" "&amp;Inputs!$B$6)))</f>
        <v>0</v>
      </c>
      <c r="D180" s="6" t="n">
        <f aca="false">IF(AND(B180="fraud",C180=1),'Model Parameters'!$B$13,0)</f>
        <v>0</v>
      </c>
      <c r="E180" s="6" t="n">
        <f aca="false">IF(AND(B180="injection",C180=1),'Model Parameters'!$C$13,0)</f>
        <v>0</v>
      </c>
      <c r="F180" s="6" t="n">
        <f aca="false">IF(C180=1,IF(B180="fraud",'Model Parameters'!$B$13,'Model Parameters'!$C$13),0)</f>
        <v>0</v>
      </c>
      <c r="G180" s="6" t="s">
        <v>59</v>
      </c>
    </row>
    <row r="181" customFormat="false" ht="34.5" hidden="false" customHeight="true" outlineLevel="0" collapsed="false">
      <c r="A181" s="6" t="s">
        <v>236</v>
      </c>
      <c r="B181" s="6" t="s">
        <v>156</v>
      </c>
      <c r="C181" s="6" t="b">
        <f aca="false">--ISNUMBER(SEARCH(A181,LOWER(Inputs!$B$5&amp;" "&amp;Inputs!$B$6)))</f>
        <v>0</v>
      </c>
      <c r="D181" s="6" t="n">
        <f aca="false">IF(AND(B181="fraud",C181=1),'Model Parameters'!$B$13,0)</f>
        <v>0</v>
      </c>
      <c r="E181" s="6" t="n">
        <f aca="false">IF(AND(B181="injection",C181=1),'Model Parameters'!$C$13,0)</f>
        <v>0</v>
      </c>
      <c r="F181" s="6" t="n">
        <f aca="false">IF(C181=1,IF(B181="fraud",'Model Parameters'!$B$13,'Model Parameters'!$C$13),0)</f>
        <v>0</v>
      </c>
      <c r="G181" s="6" t="s">
        <v>59</v>
      </c>
    </row>
    <row r="182" customFormat="false" ht="34.5" hidden="false" customHeight="true" outlineLevel="0" collapsed="false">
      <c r="A182" s="6" t="s">
        <v>237</v>
      </c>
      <c r="B182" s="6" t="s">
        <v>156</v>
      </c>
      <c r="C182" s="6" t="b">
        <f aca="false">--ISNUMBER(SEARCH(A182,LOWER(Inputs!$B$5&amp;" "&amp;Inputs!$B$6)))</f>
        <v>0</v>
      </c>
      <c r="D182" s="6" t="n">
        <f aca="false">IF(AND(B182="fraud",C182=1),'Model Parameters'!$B$13,0)</f>
        <v>0</v>
      </c>
      <c r="E182" s="6" t="n">
        <f aca="false">IF(AND(B182="injection",C182=1),'Model Parameters'!$C$13,0)</f>
        <v>0</v>
      </c>
      <c r="F182" s="6" t="n">
        <f aca="false">IF(C182=1,IF(B182="fraud",'Model Parameters'!$B$13,'Model Parameters'!$C$13),0)</f>
        <v>0</v>
      </c>
      <c r="G182" s="6" t="s">
        <v>59</v>
      </c>
    </row>
    <row r="183" customFormat="false" ht="34.5" hidden="false" customHeight="true" outlineLevel="0" collapsed="false">
      <c r="A183" s="6" t="s">
        <v>238</v>
      </c>
      <c r="B183" s="6" t="s">
        <v>156</v>
      </c>
      <c r="C183" s="6" t="b">
        <f aca="false">--ISNUMBER(SEARCH(A183,LOWER(Inputs!$B$5&amp;" "&amp;Inputs!$B$6)))</f>
        <v>0</v>
      </c>
      <c r="D183" s="6" t="n">
        <f aca="false">IF(AND(B183="fraud",C183=1),'Model Parameters'!$B$13,0)</f>
        <v>0</v>
      </c>
      <c r="E183" s="6" t="n">
        <f aca="false">IF(AND(B183="injection",C183=1),'Model Parameters'!$C$13,0)</f>
        <v>0</v>
      </c>
      <c r="F183" s="6" t="n">
        <f aca="false">IF(C183=1,IF(B183="fraud",'Model Parameters'!$B$13,'Model Parameters'!$C$13),0)</f>
        <v>0</v>
      </c>
      <c r="G183" s="6" t="s">
        <v>59</v>
      </c>
    </row>
    <row r="184" customFormat="false" ht="34.5" hidden="false" customHeight="true" outlineLevel="0" collapsed="false">
      <c r="A184" s="6" t="s">
        <v>239</v>
      </c>
      <c r="B184" s="6" t="s">
        <v>156</v>
      </c>
      <c r="C184" s="6" t="b">
        <f aca="false">--ISNUMBER(SEARCH(A184,LOWER(Inputs!$B$5&amp;" "&amp;Inputs!$B$6)))</f>
        <v>0</v>
      </c>
      <c r="D184" s="6" t="n">
        <f aca="false">IF(AND(B184="fraud",C184=1),'Model Parameters'!$B$13,0)</f>
        <v>0</v>
      </c>
      <c r="E184" s="6" t="n">
        <f aca="false">IF(AND(B184="injection",C184=1),'Model Parameters'!$C$13,0)</f>
        <v>0</v>
      </c>
      <c r="F184" s="6" t="n">
        <f aca="false">IF(C184=1,IF(B184="fraud",'Model Parameters'!$B$13,'Model Parameters'!$C$13),0)</f>
        <v>0</v>
      </c>
      <c r="G184" s="6" t="s">
        <v>59</v>
      </c>
    </row>
    <row r="185" customFormat="false" ht="34.5" hidden="false" customHeight="true" outlineLevel="0" collapsed="false">
      <c r="A185" s="6" t="s">
        <v>240</v>
      </c>
      <c r="B185" s="6" t="s">
        <v>156</v>
      </c>
      <c r="C185" s="6" t="b">
        <f aca="false">--ISNUMBER(SEARCH(A185,LOWER(Inputs!$B$5&amp;" "&amp;Inputs!$B$6)))</f>
        <v>0</v>
      </c>
      <c r="D185" s="6" t="n">
        <f aca="false">IF(AND(B185="fraud",C185=1),'Model Parameters'!$B$13,0)</f>
        <v>0</v>
      </c>
      <c r="E185" s="6" t="n">
        <f aca="false">IF(AND(B185="injection",C185=1),'Model Parameters'!$C$13,0)</f>
        <v>0</v>
      </c>
      <c r="F185" s="6" t="n">
        <f aca="false">IF(C185=1,IF(B185="fraud",'Model Parameters'!$B$13,'Model Parameters'!$C$13),0)</f>
        <v>0</v>
      </c>
      <c r="G185" s="6" t="s">
        <v>59</v>
      </c>
    </row>
    <row r="186" customFormat="false" ht="34.5" hidden="false" customHeight="true" outlineLevel="0" collapsed="false">
      <c r="A186" s="6" t="s">
        <v>241</v>
      </c>
      <c r="B186" s="6" t="s">
        <v>156</v>
      </c>
      <c r="C186" s="6" t="b">
        <f aca="false">--ISNUMBER(SEARCH(A186,LOWER(Inputs!$B$5&amp;" "&amp;Inputs!$B$6)))</f>
        <v>0</v>
      </c>
      <c r="D186" s="6" t="n">
        <f aca="false">IF(AND(B186="fraud",C186=1),'Model Parameters'!$B$13,0)</f>
        <v>0</v>
      </c>
      <c r="E186" s="6" t="n">
        <f aca="false">IF(AND(B186="injection",C186=1),'Model Parameters'!$C$13,0)</f>
        <v>0</v>
      </c>
      <c r="F186" s="6" t="n">
        <f aca="false">IF(C186=1,IF(B186="fraud",'Model Parameters'!$B$13,'Model Parameters'!$C$13),0)</f>
        <v>0</v>
      </c>
      <c r="G186" s="6" t="s">
        <v>59</v>
      </c>
    </row>
    <row r="187" customFormat="false" ht="34.5" hidden="false" customHeight="true" outlineLevel="0" collapsed="false">
      <c r="A187" s="6" t="s">
        <v>242</v>
      </c>
      <c r="B187" s="6" t="s">
        <v>156</v>
      </c>
      <c r="C187" s="6" t="b">
        <f aca="false">--ISNUMBER(SEARCH(A187,LOWER(Inputs!$B$5&amp;" "&amp;Inputs!$B$6)))</f>
        <v>0</v>
      </c>
      <c r="D187" s="6" t="n">
        <f aca="false">IF(AND(B187="fraud",C187=1),'Model Parameters'!$B$13,0)</f>
        <v>0</v>
      </c>
      <c r="E187" s="6" t="n">
        <f aca="false">IF(AND(B187="injection",C187=1),'Model Parameters'!$C$13,0)</f>
        <v>0</v>
      </c>
      <c r="F187" s="6" t="n">
        <f aca="false">IF(C187=1,IF(B187="fraud",'Model Parameters'!$B$13,'Model Parameters'!$C$13),0)</f>
        <v>0</v>
      </c>
      <c r="G187" s="6" t="s">
        <v>59</v>
      </c>
    </row>
    <row r="188" customFormat="false" ht="34.5" hidden="false" customHeight="true" outlineLevel="0" collapsed="false">
      <c r="A188" s="6" t="s">
        <v>243</v>
      </c>
      <c r="B188" s="6" t="s">
        <v>156</v>
      </c>
      <c r="C188" s="6" t="b">
        <f aca="false">--ISNUMBER(SEARCH(A188,LOWER(Inputs!$B$5&amp;" "&amp;Inputs!$B$6)))</f>
        <v>0</v>
      </c>
      <c r="D188" s="6" t="n">
        <f aca="false">IF(AND(B188="fraud",C188=1),'Model Parameters'!$B$13,0)</f>
        <v>0</v>
      </c>
      <c r="E188" s="6" t="n">
        <f aca="false">IF(AND(B188="injection",C188=1),'Model Parameters'!$C$13,0)</f>
        <v>0</v>
      </c>
      <c r="F188" s="6" t="n">
        <f aca="false">IF(C188=1,IF(B188="fraud",'Model Parameters'!$B$13,'Model Parameters'!$C$13),0)</f>
        <v>0</v>
      </c>
      <c r="G188" s="6" t="s">
        <v>59</v>
      </c>
    </row>
    <row r="189" customFormat="false" ht="34.5" hidden="false" customHeight="true" outlineLevel="0" collapsed="false">
      <c r="A189" s="6" t="s">
        <v>244</v>
      </c>
      <c r="B189" s="6" t="s">
        <v>156</v>
      </c>
      <c r="C189" s="6" t="b">
        <f aca="false">--ISNUMBER(SEARCH(A189,LOWER(Inputs!$B$5&amp;" "&amp;Inputs!$B$6)))</f>
        <v>0</v>
      </c>
      <c r="D189" s="6" t="n">
        <f aca="false">IF(AND(B189="fraud",C189=1),'Model Parameters'!$B$13,0)</f>
        <v>0</v>
      </c>
      <c r="E189" s="6" t="n">
        <f aca="false">IF(AND(B189="injection",C189=1),'Model Parameters'!$C$13,0)</f>
        <v>0</v>
      </c>
      <c r="F189" s="6" t="n">
        <f aca="false">IF(C189=1,IF(B189="fraud",'Model Parameters'!$B$13,'Model Parameters'!$C$13),0)</f>
        <v>0</v>
      </c>
      <c r="G189" s="6" t="s">
        <v>59</v>
      </c>
    </row>
    <row r="190" customFormat="false" ht="34.5" hidden="false" customHeight="true" outlineLevel="0" collapsed="false">
      <c r="A190" s="6" t="s">
        <v>245</v>
      </c>
      <c r="B190" s="6" t="s">
        <v>156</v>
      </c>
      <c r="C190" s="6" t="b">
        <f aca="false">--ISNUMBER(SEARCH(A190,LOWER(Inputs!$B$5&amp;" "&amp;Inputs!$B$6)))</f>
        <v>0</v>
      </c>
      <c r="D190" s="6" t="n">
        <f aca="false">IF(AND(B190="fraud",C190=1),'Model Parameters'!$B$13,0)</f>
        <v>0</v>
      </c>
      <c r="E190" s="6" t="n">
        <f aca="false">IF(AND(B190="injection",C190=1),'Model Parameters'!$C$13,0)</f>
        <v>0</v>
      </c>
      <c r="F190" s="6" t="n">
        <f aca="false">IF(C190=1,IF(B190="fraud",'Model Parameters'!$B$13,'Model Parameters'!$C$13),0)</f>
        <v>0</v>
      </c>
      <c r="G190" s="6" t="s">
        <v>59</v>
      </c>
    </row>
    <row r="191" customFormat="false" ht="34.5" hidden="false" customHeight="true" outlineLevel="0" collapsed="false">
      <c r="A191" s="6" t="s">
        <v>246</v>
      </c>
      <c r="B191" s="6" t="s">
        <v>156</v>
      </c>
      <c r="C191" s="6" t="b">
        <f aca="false">--ISNUMBER(SEARCH(A191,LOWER(Inputs!$B$5&amp;" "&amp;Inputs!$B$6)))</f>
        <v>0</v>
      </c>
      <c r="D191" s="6" t="n">
        <f aca="false">IF(AND(B191="fraud",C191=1),'Model Parameters'!$B$13,0)</f>
        <v>0</v>
      </c>
      <c r="E191" s="6" t="n">
        <f aca="false">IF(AND(B191="injection",C191=1),'Model Parameters'!$C$13,0)</f>
        <v>0</v>
      </c>
      <c r="F191" s="6" t="n">
        <f aca="false">IF(C191=1,IF(B191="fraud",'Model Parameters'!$B$13,'Model Parameters'!$C$13),0)</f>
        <v>0</v>
      </c>
      <c r="G191" s="6" t="s">
        <v>59</v>
      </c>
    </row>
    <row r="192" customFormat="false" ht="34.5" hidden="false" customHeight="true" outlineLevel="0" collapsed="false">
      <c r="A192" s="6" t="s">
        <v>247</v>
      </c>
      <c r="B192" s="6" t="s">
        <v>156</v>
      </c>
      <c r="C192" s="6" t="b">
        <f aca="false">--ISNUMBER(SEARCH(A192,LOWER(Inputs!$B$5&amp;" "&amp;Inputs!$B$6)))</f>
        <v>0</v>
      </c>
      <c r="D192" s="6" t="n">
        <f aca="false">IF(AND(B192="fraud",C192=1),'Model Parameters'!$B$13,0)</f>
        <v>0</v>
      </c>
      <c r="E192" s="6" t="n">
        <f aca="false">IF(AND(B192="injection",C192=1),'Model Parameters'!$C$13,0)</f>
        <v>0</v>
      </c>
      <c r="F192" s="6" t="n">
        <f aca="false">IF(C192=1,IF(B192="fraud",'Model Parameters'!$B$13,'Model Parameters'!$C$13),0)</f>
        <v>0</v>
      </c>
      <c r="G192" s="6" t="s">
        <v>59</v>
      </c>
    </row>
    <row r="193" customFormat="false" ht="34.5" hidden="false" customHeight="true" outlineLevel="0" collapsed="false">
      <c r="A193" s="6" t="s">
        <v>248</v>
      </c>
      <c r="B193" s="6" t="s">
        <v>156</v>
      </c>
      <c r="C193" s="6" t="b">
        <f aca="false">--ISNUMBER(SEARCH(A193,LOWER(Inputs!$B$5&amp;" "&amp;Inputs!$B$6)))</f>
        <v>0</v>
      </c>
      <c r="D193" s="6" t="n">
        <f aca="false">IF(AND(B193="fraud",C193=1),'Model Parameters'!$B$13,0)</f>
        <v>0</v>
      </c>
      <c r="E193" s="6" t="n">
        <f aca="false">IF(AND(B193="injection",C193=1),'Model Parameters'!$C$13,0)</f>
        <v>0</v>
      </c>
      <c r="F193" s="6" t="n">
        <f aca="false">IF(C193=1,IF(B193="fraud",'Model Parameters'!$B$13,'Model Parameters'!$C$13),0)</f>
        <v>0</v>
      </c>
      <c r="G193" s="6" t="s">
        <v>59</v>
      </c>
    </row>
    <row r="194" customFormat="false" ht="34.5" hidden="false" customHeight="true" outlineLevel="0" collapsed="false">
      <c r="A194" s="6" t="s">
        <v>249</v>
      </c>
      <c r="B194" s="6" t="s">
        <v>156</v>
      </c>
      <c r="C194" s="6" t="b">
        <f aca="false">--ISNUMBER(SEARCH(A194,LOWER(Inputs!$B$5&amp;" "&amp;Inputs!$B$6)))</f>
        <v>0</v>
      </c>
      <c r="D194" s="6" t="n">
        <f aca="false">IF(AND(B194="fraud",C194=1),'Model Parameters'!$B$13,0)</f>
        <v>0</v>
      </c>
      <c r="E194" s="6" t="n">
        <f aca="false">IF(AND(B194="injection",C194=1),'Model Parameters'!$C$13,0)</f>
        <v>0</v>
      </c>
      <c r="F194" s="6" t="n">
        <f aca="false">IF(C194=1,IF(B194="fraud",'Model Parameters'!$B$13,'Model Parameters'!$C$13),0)</f>
        <v>0</v>
      </c>
      <c r="G194" s="6" t="s">
        <v>59</v>
      </c>
    </row>
    <row r="195" customFormat="false" ht="34.5" hidden="false" customHeight="true" outlineLevel="0" collapsed="false">
      <c r="A195" s="6" t="s">
        <v>250</v>
      </c>
      <c r="B195" s="6" t="s">
        <v>156</v>
      </c>
      <c r="C195" s="6" t="b">
        <f aca="false">--ISNUMBER(SEARCH(A195,LOWER(Inputs!$B$5&amp;" "&amp;Inputs!$B$6)))</f>
        <v>0</v>
      </c>
      <c r="D195" s="6" t="n">
        <f aca="false">IF(AND(B195="fraud",C195=1),'Model Parameters'!$B$13,0)</f>
        <v>0</v>
      </c>
      <c r="E195" s="6" t="n">
        <f aca="false">IF(AND(B195="injection",C195=1),'Model Parameters'!$C$13,0)</f>
        <v>0</v>
      </c>
      <c r="F195" s="6" t="n">
        <f aca="false">IF(C195=1,IF(B195="fraud",'Model Parameters'!$B$13,'Model Parameters'!$C$13),0)</f>
        <v>0</v>
      </c>
      <c r="G195" s="6" t="s">
        <v>59</v>
      </c>
    </row>
    <row r="196" customFormat="false" ht="15" hidden="false" customHeight="true" outlineLevel="0" collapsed="false">
      <c r="A196" s="6"/>
      <c r="B196" s="6"/>
      <c r="C196" s="6"/>
      <c r="D196" s="6"/>
      <c r="E196" s="6"/>
      <c r="F196" s="6"/>
      <c r="G196" s="6"/>
    </row>
    <row r="197" customFormat="false" ht="15" hidden="false" customHeight="true" outlineLevel="0" collapsed="false">
      <c r="A197" s="5" t="s">
        <v>251</v>
      </c>
      <c r="B197" s="5"/>
      <c r="C197" s="5" t="n">
        <f aca="false">SUM(C5:C195)</f>
        <v>16</v>
      </c>
      <c r="D197" s="5" t="n">
        <f aca="false">SUM(D5:D195)</f>
        <v>32</v>
      </c>
      <c r="E197" s="5" t="n">
        <f aca="false">SUM(E5:E195)</f>
        <v>0</v>
      </c>
      <c r="F197" s="5" t="n">
        <f aca="false">SUM(F5:F195)</f>
        <v>32</v>
      </c>
      <c r="G197" s="5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O12" activeCellId="0" sqref="O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6384" min="16384" style="1" width="11.53"/>
  </cols>
  <sheetData>
    <row r="1" customFormat="false" ht="24" hidden="false" customHeight="true" outlineLevel="0" collapsed="false">
      <c r="A1" s="2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10" t="s">
        <v>253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customFormat="false" ht="1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7.75" hidden="false" customHeight="true" outlineLevel="0" collapsed="false">
      <c r="A6" s="5" t="s">
        <v>254</v>
      </c>
      <c r="B6" s="5" t="s">
        <v>255</v>
      </c>
      <c r="C6" s="5" t="s">
        <v>256</v>
      </c>
      <c r="D6" s="5" t="s">
        <v>257</v>
      </c>
      <c r="E6" s="5" t="s">
        <v>258</v>
      </c>
      <c r="F6" s="5" t="s">
        <v>259</v>
      </c>
      <c r="G6" s="5" t="s">
        <v>260</v>
      </c>
      <c r="H6" s="5" t="s">
        <v>261</v>
      </c>
      <c r="I6" s="5" t="s">
        <v>262</v>
      </c>
      <c r="J6" s="5" t="s">
        <v>263</v>
      </c>
      <c r="K6" s="5" t="s">
        <v>264</v>
      </c>
    </row>
    <row r="7" customFormat="false" ht="15" hidden="false" customHeight="true" outlineLevel="0" collapsed="false">
      <c r="A7" s="6" t="s">
        <v>265</v>
      </c>
      <c r="B7" s="6" t="n">
        <f aca="false">'Keyword Influence'!D197</f>
        <v>32</v>
      </c>
      <c r="C7" s="6" t="n">
        <v>481750</v>
      </c>
      <c r="D7" s="9" t="n">
        <f aca="false">(C7+'Model Parameters'!$B$11)/('Model Parameters'!$B$9+'Model Parameters'!$B$11*'Model Parameters'!$B$10)</f>
        <v>0.409825410909202</v>
      </c>
      <c r="E7" s="12" t="n">
        <f aca="false">B7*LN(D7)</f>
        <v>-28.544769184787</v>
      </c>
      <c r="F7" s="6" t="n">
        <v>35240</v>
      </c>
      <c r="G7" s="9" t="n">
        <f aca="false">(F7+'Model Parameters'!$C$11)/('Model Parameters'!$C$9+'Model Parameters'!$C$11*'Model Parameters'!$C$10)</f>
        <v>0.0397601820522396</v>
      </c>
      <c r="H7" s="12" t="n">
        <f aca="false">B7*LN(G7)</f>
        <v>-103.196458189619</v>
      </c>
      <c r="I7" s="6" t="n">
        <v>44550</v>
      </c>
      <c r="J7" s="9" t="n">
        <f aca="false">(I7+'Model Parameters'!$D$11)/('Model Parameters'!$D$9+'Model Parameters'!$D$11*'Model Parameters'!$D$10)</f>
        <v>0.196408732607967</v>
      </c>
      <c r="K7" s="12" t="n">
        <f aca="false">B7*LN(J7)</f>
        <v>-52.0818374614256</v>
      </c>
    </row>
    <row r="8" customFormat="false" ht="15" hidden="false" customHeight="true" outlineLevel="0" collapsed="false">
      <c r="A8" s="6" t="s">
        <v>266</v>
      </c>
      <c r="B8" s="6" t="n">
        <f aca="false">'Keyword Influence'!F197</f>
        <v>32</v>
      </c>
      <c r="C8" s="6" t="n">
        <v>486220</v>
      </c>
      <c r="D8" s="9" t="n">
        <f aca="false">(C8+'Model Parameters'!$B$11)/('Model Parameters'!$B$9+'Model Parameters'!$B$11*'Model Parameters'!$B$10)</f>
        <v>0.413628038380166</v>
      </c>
      <c r="E8" s="12" t="n">
        <f aca="false">B8*LN(D8)</f>
        <v>-28.2492213449942</v>
      </c>
      <c r="F8" s="6" t="n">
        <v>345670</v>
      </c>
      <c r="G8" s="9" t="n">
        <f aca="false">(F8+'Model Parameters'!$C$11)/('Model Parameters'!$C$9+'Model Parameters'!$C$11*'Model Parameters'!$C$10)</f>
        <v>0.38999863483385</v>
      </c>
      <c r="H8" s="12" t="n">
        <f aca="false">B8*LN(G8)</f>
        <v>-30.1315852892991</v>
      </c>
      <c r="I8" s="6" t="n">
        <v>44550</v>
      </c>
      <c r="J8" s="9" t="n">
        <f aca="false">(I8+'Model Parameters'!$D$11)/('Model Parameters'!$D$9+'Model Parameters'!$D$11*'Model Parameters'!$D$10)</f>
        <v>0.196408732607967</v>
      </c>
      <c r="K8" s="12" t="n">
        <f aca="false">B8*LN(J8)</f>
        <v>-52.0818374614256</v>
      </c>
    </row>
    <row r="9" customFormat="false" ht="15" hidden="false" customHeight="true" outlineLevel="0" collapsed="false">
      <c r="A9" s="6" t="s">
        <v>57</v>
      </c>
      <c r="B9" s="6" t="n">
        <v>3</v>
      </c>
      <c r="C9" s="6" t="n">
        <v>5621</v>
      </c>
      <c r="D9" s="9" t="n">
        <f aca="false">(C9+'Model Parameters'!$B$11)/('Model Parameters'!$B$9+'Model Parameters'!$B$11*'Model Parameters'!$B$10)</f>
        <v>0.00478263347690308</v>
      </c>
      <c r="E9" s="12" t="n">
        <f aca="false">B9*LN(D9)</f>
        <v>-16.028291842794</v>
      </c>
      <c r="F9" s="6" t="n">
        <v>39</v>
      </c>
      <c r="G9" s="9" t="n">
        <f aca="false">(F9+'Model Parameters'!$C$11)/('Model Parameters'!$C$9+'Model Parameters'!$C$11*'Model Parameters'!$C$10)</f>
        <v>4.5129459495746E-005</v>
      </c>
      <c r="H9" s="12" t="n">
        <f aca="false">B9*LN(G9)</f>
        <v>-30.0179259624109</v>
      </c>
      <c r="I9" s="6" t="n">
        <v>1540</v>
      </c>
      <c r="J9" s="9" t="n">
        <f aca="false">(I9+'Model Parameters'!$D$11)/('Model Parameters'!$D$9+'Model Parameters'!$D$11*'Model Parameters'!$D$10)</f>
        <v>0.00679369390022396</v>
      </c>
      <c r="K9" s="12" t="n">
        <f aca="false">B9*LN(J9)</f>
        <v>-14.9752813940567</v>
      </c>
    </row>
    <row r="10" customFormat="false" ht="15" hidden="false" customHeight="true" outlineLevel="0" collapsed="false">
      <c r="A10" s="6" t="s">
        <v>113</v>
      </c>
      <c r="B10" s="6" t="n">
        <v>3</v>
      </c>
      <c r="C10" s="6" t="n">
        <v>3577</v>
      </c>
      <c r="D10" s="9" t="n">
        <f aca="false">(C10+'Model Parameters'!$B$11)/('Model Parameters'!$B$9+'Model Parameters'!$B$11*'Model Parameters'!$B$10)</f>
        <v>0.00304380337608666</v>
      </c>
      <c r="E10" s="12" t="n">
        <f aca="false">B10*LN(D10)</f>
        <v>-17.3839423049875</v>
      </c>
      <c r="F10" s="6" t="n">
        <v>29</v>
      </c>
      <c r="G10" s="9" t="n">
        <f aca="false">(F10+'Model Parameters'!$C$11)/('Model Parameters'!$C$9+'Model Parameters'!$C$11*'Model Parameters'!$C$10)</f>
        <v>3.38470946218095E-005</v>
      </c>
      <c r="H10" s="12" t="n">
        <f aca="false">B10*LN(G10)</f>
        <v>-30.8809721797663</v>
      </c>
      <c r="I10" s="6" t="n">
        <v>1</v>
      </c>
      <c r="J10" s="9" t="n">
        <f aca="false">(I10+'Model Parameters'!$D$11)/('Model Parameters'!$D$9+'Model Parameters'!$D$11*'Model Parameters'!$D$10)</f>
        <v>8.8172536018481E-006</v>
      </c>
      <c r="K10" s="12" t="n">
        <f aca="false">B10*LN(J10)</f>
        <v>-34.9164003583373</v>
      </c>
    </row>
    <row r="11" customFormat="false" ht="15" hidden="false" customHeight="true" outlineLevel="0" collapsed="false">
      <c r="A11" s="6" t="s">
        <v>69</v>
      </c>
      <c r="B11" s="6" t="n">
        <v>2</v>
      </c>
      <c r="C11" s="6" t="n">
        <v>477</v>
      </c>
      <c r="D11" s="9" t="n">
        <f aca="false">(C11+'Model Parameters'!$B$11)/('Model Parameters'!$B$9+'Model Parameters'!$B$11*'Model Parameters'!$B$10)</f>
        <v>0.000406634436492293</v>
      </c>
      <c r="E11" s="12" t="n">
        <f aca="false">B11*LN(D11)</f>
        <v>-15.6151919331461</v>
      </c>
      <c r="F11" s="6" t="n">
        <v>5</v>
      </c>
      <c r="G11" s="9" t="n">
        <f aca="false">(F11+'Model Parameters'!$C$11)/('Model Parameters'!$C$9+'Model Parameters'!$C$11*'Model Parameters'!$C$10)</f>
        <v>6.7694189243619E-006</v>
      </c>
      <c r="H11" s="12" t="n">
        <f aca="false">B11*LN(G11)</f>
        <v>-23.8061906113791</v>
      </c>
      <c r="I11" s="6" t="n">
        <v>1</v>
      </c>
      <c r="J11" s="9" t="n">
        <f aca="false">(I11+'Model Parameters'!$D$11)/('Model Parameters'!$D$9+'Model Parameters'!$D$11*'Model Parameters'!$D$10)</f>
        <v>8.8172536018481E-006</v>
      </c>
      <c r="K11" s="12" t="n">
        <f aca="false">B11*LN(J11)</f>
        <v>-23.2776002388915</v>
      </c>
    </row>
    <row r="12" customFormat="false" ht="15" hidden="false" customHeight="true" outlineLevel="0" collapsed="false">
      <c r="A12" s="6" t="s">
        <v>97</v>
      </c>
      <c r="B12" s="6" t="n">
        <v>2</v>
      </c>
      <c r="C12" s="6" t="n">
        <v>834</v>
      </c>
      <c r="D12" s="9" t="n">
        <f aca="false">(C12+'Model Parameters'!$B$11)/('Model Parameters'!$B$9+'Model Parameters'!$B$11*'Model Parameters'!$B$10)</f>
        <v>0.000710334214374612</v>
      </c>
      <c r="E12" s="12" t="n">
        <f aca="false">B12*LN(D12)</f>
        <v>-14.4995499484273</v>
      </c>
      <c r="F12" s="6" t="n">
        <v>415</v>
      </c>
      <c r="G12" s="9" t="n">
        <f aca="false">(F12+'Model Parameters'!$C$11)/('Model Parameters'!$C$9+'Model Parameters'!$C$11*'Model Parameters'!$C$10)</f>
        <v>0.000469346378755758</v>
      </c>
      <c r="H12" s="12" t="n">
        <f aca="false">B12*LN(G12)</f>
        <v>-15.3283390293126</v>
      </c>
      <c r="I12" s="6" t="n">
        <v>0</v>
      </c>
      <c r="J12" s="9" t="n">
        <f aca="false">(I12+'Model Parameters'!$D$11)/('Model Parameters'!$D$9+'Model Parameters'!$D$11*'Model Parameters'!$D$10)</f>
        <v>4.40862680092405E-006</v>
      </c>
      <c r="K12" s="12" t="n">
        <f aca="false">B12*LN(J12)</f>
        <v>-24.6638946000114</v>
      </c>
    </row>
    <row r="13" customFormat="false" ht="15" hidden="false" customHeight="true" outlineLevel="0" collapsed="false">
      <c r="A13" s="6" t="s">
        <v>267</v>
      </c>
      <c r="B13" s="6" t="n">
        <v>2</v>
      </c>
      <c r="C13" s="6" t="n">
        <v>1384</v>
      </c>
      <c r="D13" s="9" t="n">
        <f aca="false">(C13+'Model Parameters'!$B$11)/('Model Parameters'!$B$9+'Model Parameters'!$B$11*'Model Parameters'!$B$10)</f>
        <v>0.00117821902623813</v>
      </c>
      <c r="E13" s="12" t="n">
        <f aca="false">B13*LN(D13)</f>
        <v>-13.4875025608861</v>
      </c>
      <c r="F13" s="6" t="n">
        <v>0</v>
      </c>
      <c r="G13" s="9" t="n">
        <f aca="false">(F13+'Model Parameters'!$C$11)/('Model Parameters'!$C$9+'Model Parameters'!$C$11*'Model Parameters'!$C$10)</f>
        <v>1.12823648739365E-006</v>
      </c>
      <c r="H13" s="12" t="n">
        <f aca="false">B13*LN(G13)</f>
        <v>-27.3897095498352</v>
      </c>
      <c r="I13" s="6" t="n">
        <v>0</v>
      </c>
      <c r="J13" s="9" t="n">
        <f aca="false">(I13+'Model Parameters'!$D$11)/('Model Parameters'!$D$9+'Model Parameters'!$D$11*'Model Parameters'!$D$10)</f>
        <v>4.40862680092405E-006</v>
      </c>
      <c r="K13" s="12" t="n">
        <f aca="false">B13*LN(J13)</f>
        <v>-24.6638946000114</v>
      </c>
    </row>
    <row r="14" customFormat="false" ht="15" hidden="false" customHeight="true" outlineLevel="0" collapsed="false">
      <c r="A14" s="6" t="s">
        <v>124</v>
      </c>
      <c r="B14" s="6" t="n">
        <v>2</v>
      </c>
      <c r="C14" s="6" t="n">
        <v>1881</v>
      </c>
      <c r="D14" s="9" t="n">
        <f aca="false">(C14+'Model Parameters'!$B$11)/('Model Parameters'!$B$9+'Model Parameters'!$B$11*'Model Parameters'!$B$10)</f>
        <v>0.00160101675623116</v>
      </c>
      <c r="E14" s="12" t="n">
        <f aca="false">B14*LN(D14)</f>
        <v>-12.8742327578383</v>
      </c>
      <c r="F14" s="6" t="n">
        <v>18</v>
      </c>
      <c r="G14" s="9" t="n">
        <f aca="false">(F14+'Model Parameters'!$C$11)/('Model Parameters'!$C$9+'Model Parameters'!$C$11*'Model Parameters'!$C$10)</f>
        <v>2.14364932604793E-005</v>
      </c>
      <c r="H14" s="12" t="n">
        <f aca="false">B14*LN(G14)</f>
        <v>-21.5008315915023</v>
      </c>
      <c r="I14" s="6" t="n">
        <v>20</v>
      </c>
      <c r="J14" s="9" t="n">
        <f aca="false">(I14+'Model Parameters'!$D$11)/('Model Parameters'!$D$9+'Model Parameters'!$D$11*'Model Parameters'!$D$10)</f>
        <v>9.2581162819405E-005</v>
      </c>
      <c r="K14" s="12" t="n">
        <f aca="false">B14*LN(J14)</f>
        <v>-18.5748497245645</v>
      </c>
    </row>
    <row r="15" customFormat="false" ht="15" hidden="false" customHeight="true" outlineLevel="0" collapsed="false">
      <c r="A15" s="6" t="s">
        <v>268</v>
      </c>
      <c r="B15" s="6" t="n">
        <v>2</v>
      </c>
      <c r="C15" s="6" t="n">
        <v>453</v>
      </c>
      <c r="D15" s="9" t="n">
        <f aca="false">(C15+'Model Parameters'!$B$11)/('Model Parameters'!$B$9+'Model Parameters'!$B$11*'Model Parameters'!$B$10)</f>
        <v>0.000386217644701885</v>
      </c>
      <c r="E15" s="12" t="n">
        <f aca="false">B15*LN(D15)</f>
        <v>-15.7182190020463</v>
      </c>
      <c r="F15" s="6" t="n">
        <v>0</v>
      </c>
      <c r="G15" s="9" t="n">
        <f aca="false">(F15+'Model Parameters'!$C$11)/('Model Parameters'!$C$9+'Model Parameters'!$C$11*'Model Parameters'!$C$10)</f>
        <v>1.12823648739365E-006</v>
      </c>
      <c r="H15" s="12" t="n">
        <f aca="false">B15*LN(G15)</f>
        <v>-27.3897095498352</v>
      </c>
      <c r="I15" s="6" t="n">
        <v>0</v>
      </c>
      <c r="J15" s="9" t="n">
        <f aca="false">(I15+'Model Parameters'!$D$11)/('Model Parameters'!$D$9+'Model Parameters'!$D$11*'Model Parameters'!$D$10)</f>
        <v>4.40862680092405E-006</v>
      </c>
      <c r="K15" s="12" t="n">
        <f aca="false">B15*LN(J15)</f>
        <v>-24.6638946000114</v>
      </c>
    </row>
    <row r="16" customFormat="false" ht="15" hidden="false" customHeight="true" outlineLevel="0" collapsed="false">
      <c r="A16" s="6" t="s">
        <v>145</v>
      </c>
      <c r="B16" s="6" t="n">
        <v>2</v>
      </c>
      <c r="C16" s="6" t="n">
        <v>499</v>
      </c>
      <c r="D16" s="9" t="n">
        <f aca="false">(C16+'Model Parameters'!$B$11)/('Model Parameters'!$B$9+'Model Parameters'!$B$11*'Model Parameters'!$B$10)</f>
        <v>0.000425349828966834</v>
      </c>
      <c r="E16" s="12" t="n">
        <f aca="false">B16*LN(D16)</f>
        <v>-15.5251972012846</v>
      </c>
      <c r="F16" s="6" t="n">
        <v>5</v>
      </c>
      <c r="G16" s="9" t="n">
        <f aca="false">(F16+'Model Parameters'!$C$11)/('Model Parameters'!$C$9+'Model Parameters'!$C$11*'Model Parameters'!$C$10)</f>
        <v>6.7694189243619E-006</v>
      </c>
      <c r="H16" s="12" t="n">
        <f aca="false">B16*LN(G16)</f>
        <v>-23.8061906113791</v>
      </c>
      <c r="I16" s="6" t="n">
        <v>0</v>
      </c>
      <c r="J16" s="9" t="n">
        <f aca="false">(I16+'Model Parameters'!$D$11)/('Model Parameters'!$D$9+'Model Parameters'!$D$11*'Model Parameters'!$D$10)</f>
        <v>4.40862680092405E-006</v>
      </c>
      <c r="K16" s="12" t="n">
        <f aca="false">B16*LN(J16)</f>
        <v>-24.6638946000114</v>
      </c>
    </row>
    <row r="17" customFormat="false" ht="15" hidden="false" customHeight="true" outlineLevel="0" collapsed="false">
      <c r="A17" s="6" t="s">
        <v>269</v>
      </c>
      <c r="B17" s="6" t="n">
        <v>2</v>
      </c>
      <c r="C17" s="6" t="n">
        <v>454</v>
      </c>
      <c r="D17" s="9" t="n">
        <f aca="false">(C17+'Model Parameters'!$B$11)/('Model Parameters'!$B$9+'Model Parameters'!$B$11*'Model Parameters'!$B$10)</f>
        <v>0.000387068344359819</v>
      </c>
      <c r="E17" s="12" t="n">
        <f aca="false">B17*LN(D17)</f>
        <v>-15.7138185602271</v>
      </c>
      <c r="F17" s="6" t="n">
        <v>0</v>
      </c>
      <c r="G17" s="9" t="n">
        <f aca="false">(F17+'Model Parameters'!$C$11)/('Model Parameters'!$C$9+'Model Parameters'!$C$11*'Model Parameters'!$C$10)</f>
        <v>1.12823648739365E-006</v>
      </c>
      <c r="H17" s="12" t="n">
        <f aca="false">B17*LN(G17)</f>
        <v>-27.3897095498352</v>
      </c>
      <c r="I17" s="6" t="n">
        <v>0</v>
      </c>
      <c r="J17" s="9" t="n">
        <f aca="false">(I17+'Model Parameters'!$D$11)/('Model Parameters'!$D$9+'Model Parameters'!$D$11*'Model Parameters'!$D$10)</f>
        <v>4.40862680092405E-006</v>
      </c>
      <c r="K17" s="12" t="n">
        <f aca="false">B17*LN(J17)</f>
        <v>-24.6638946000114</v>
      </c>
    </row>
    <row r="18" customFormat="false" ht="15" hidden="false" customHeight="true" outlineLevel="0" collapsed="false">
      <c r="A18" s="6" t="s">
        <v>270</v>
      </c>
      <c r="B18" s="6" t="n">
        <v>1</v>
      </c>
      <c r="C18" s="6" t="n">
        <v>3</v>
      </c>
      <c r="D18" s="9" t="n">
        <f aca="false">(C18+'Model Parameters'!$B$11)/('Model Parameters'!$B$9+'Model Parameters'!$B$11*'Model Parameters'!$B$10)</f>
        <v>3.40279863173467E-006</v>
      </c>
      <c r="E18" s="12" t="n">
        <f aca="false">B18*LN(D18)</f>
        <v>-12.5909123379446</v>
      </c>
      <c r="F18" s="6" t="n">
        <v>0</v>
      </c>
      <c r="G18" s="9" t="n">
        <f aca="false">(F18+'Model Parameters'!$C$11)/('Model Parameters'!$C$9+'Model Parameters'!$C$11*'Model Parameters'!$C$10)</f>
        <v>1.12823648739365E-006</v>
      </c>
      <c r="H18" s="12" t="n">
        <f aca="false">B18*LN(G18)</f>
        <v>-13.6948547749176</v>
      </c>
      <c r="I18" s="6" t="n">
        <v>0</v>
      </c>
      <c r="J18" s="9" t="n">
        <f aca="false">(I18+'Model Parameters'!$D$11)/('Model Parameters'!$D$9+'Model Parameters'!$D$11*'Model Parameters'!$D$10)</f>
        <v>4.40862680092405E-006</v>
      </c>
      <c r="K18" s="12" t="n">
        <f aca="false">B18*LN(J18)</f>
        <v>-12.3319473000057</v>
      </c>
    </row>
    <row r="19" customFormat="false" ht="15" hidden="false" customHeight="true" outlineLevel="0" collapsed="false">
      <c r="A19" s="6" t="s">
        <v>271</v>
      </c>
      <c r="B19" s="6" t="n">
        <v>1</v>
      </c>
      <c r="C19" s="6" t="n">
        <v>308</v>
      </c>
      <c r="D19" s="9" t="n">
        <f aca="false">(C19+'Model Parameters'!$B$11)/('Model Parameters'!$B$9+'Model Parameters'!$B$11*'Model Parameters'!$B$10)</f>
        <v>0.000262866194301503</v>
      </c>
      <c r="E19" s="12" t="n">
        <f aca="false">B19*LN(D19)</f>
        <v>-8.24386542216675</v>
      </c>
      <c r="F19" s="6" t="n">
        <v>0</v>
      </c>
      <c r="G19" s="9" t="n">
        <f aca="false">(F19+'Model Parameters'!$C$11)/('Model Parameters'!$C$9+'Model Parameters'!$C$11*'Model Parameters'!$C$10)</f>
        <v>1.12823648739365E-006</v>
      </c>
      <c r="H19" s="12" t="n">
        <f aca="false">B19*LN(G19)</f>
        <v>-13.6948547749176</v>
      </c>
      <c r="I19" s="6" t="n">
        <v>0</v>
      </c>
      <c r="J19" s="9" t="n">
        <f aca="false">(I19+'Model Parameters'!$D$11)/('Model Parameters'!$D$9+'Model Parameters'!$D$11*'Model Parameters'!$D$10)</f>
        <v>4.40862680092405E-006</v>
      </c>
      <c r="K19" s="12" t="n">
        <f aca="false">B19*LN(J19)</f>
        <v>-12.3319473000057</v>
      </c>
    </row>
    <row r="20" customFormat="false" ht="15" hidden="false" customHeight="true" outlineLevel="0" collapsed="false">
      <c r="A20" s="6" t="s">
        <v>272</v>
      </c>
      <c r="B20" s="6" t="n">
        <v>1</v>
      </c>
      <c r="C20" s="6" t="n">
        <v>18</v>
      </c>
      <c r="D20" s="9" t="n">
        <f aca="false">(C20+'Model Parameters'!$B$11)/('Model Parameters'!$B$9+'Model Parameters'!$B$11*'Model Parameters'!$B$10)</f>
        <v>1.61632935007397E-005</v>
      </c>
      <c r="E20" s="12" t="n">
        <f aca="false">B20*LN(D20)</f>
        <v>-11.0327677198981</v>
      </c>
      <c r="F20" s="6" t="n">
        <v>0</v>
      </c>
      <c r="G20" s="9" t="n">
        <f aca="false">(F20+'Model Parameters'!$C$11)/('Model Parameters'!$C$9+'Model Parameters'!$C$11*'Model Parameters'!$C$10)</f>
        <v>1.12823648739365E-006</v>
      </c>
      <c r="H20" s="12" t="n">
        <f aca="false">B20*LN(G20)</f>
        <v>-13.6948547749176</v>
      </c>
      <c r="I20" s="6" t="n">
        <v>0</v>
      </c>
      <c r="J20" s="9" t="n">
        <f aca="false">(I20+'Model Parameters'!$D$11)/('Model Parameters'!$D$9+'Model Parameters'!$D$11*'Model Parameters'!$D$10)</f>
        <v>4.40862680092405E-006</v>
      </c>
      <c r="K20" s="12" t="n">
        <f aca="false">B20*LN(J20)</f>
        <v>-12.3319473000057</v>
      </c>
    </row>
    <row r="21" customFormat="false" ht="15" hidden="false" customHeight="true" outlineLevel="0" collapsed="false">
      <c r="A21" s="6" t="s">
        <v>273</v>
      </c>
      <c r="B21" s="6" t="n">
        <v>1</v>
      </c>
      <c r="C21" s="6" t="n">
        <v>1203</v>
      </c>
      <c r="D21" s="9" t="n">
        <f aca="false">(C21+'Model Parameters'!$B$11)/('Model Parameters'!$B$9+'Model Parameters'!$B$11*'Model Parameters'!$B$10)</f>
        <v>0.00102424238815214</v>
      </c>
      <c r="E21" s="12" t="n">
        <f aca="false">B21*LN(D21)</f>
        <v>-6.88380207319573</v>
      </c>
      <c r="F21" s="6" t="n">
        <v>0</v>
      </c>
      <c r="G21" s="9" t="n">
        <f aca="false">(F21+'Model Parameters'!$C$11)/('Model Parameters'!$C$9+'Model Parameters'!$C$11*'Model Parameters'!$C$10)</f>
        <v>1.12823648739365E-006</v>
      </c>
      <c r="H21" s="12" t="n">
        <f aca="false">B21*LN(G21)</f>
        <v>-13.6948547749176</v>
      </c>
      <c r="I21" s="6" t="n">
        <v>0</v>
      </c>
      <c r="J21" s="9" t="n">
        <f aca="false">(I21+'Model Parameters'!$D$11)/('Model Parameters'!$D$9+'Model Parameters'!$D$11*'Model Parameters'!$D$10)</f>
        <v>4.40862680092405E-006</v>
      </c>
      <c r="K21" s="12" t="n">
        <f aca="false">B21*LN(J21)</f>
        <v>-12.3319473000057</v>
      </c>
    </row>
    <row r="22" customFormat="false" ht="15" hidden="false" customHeight="true" outlineLevel="0" collapsed="false">
      <c r="A22" s="6" t="s">
        <v>274</v>
      </c>
      <c r="B22" s="6" t="n">
        <v>1</v>
      </c>
      <c r="C22" s="6" t="n">
        <v>927</v>
      </c>
      <c r="D22" s="9" t="n">
        <f aca="false">(C22+'Model Parameters'!$B$11)/('Model Parameters'!$B$9+'Model Parameters'!$B$11*'Model Parameters'!$B$10)</f>
        <v>0.000789449282562444</v>
      </c>
      <c r="E22" s="12" t="n">
        <f aca="false">B22*LN(D22)</f>
        <v>-7.14417496627829</v>
      </c>
      <c r="F22" s="6" t="n">
        <v>0</v>
      </c>
      <c r="G22" s="9" t="n">
        <f aca="false">(F22+'Model Parameters'!$C$11)/('Model Parameters'!$C$9+'Model Parameters'!$C$11*'Model Parameters'!$C$10)</f>
        <v>1.12823648739365E-006</v>
      </c>
      <c r="H22" s="12" t="n">
        <f aca="false">B22*LN(G22)</f>
        <v>-13.6948547749176</v>
      </c>
      <c r="I22" s="6" t="n">
        <v>0</v>
      </c>
      <c r="J22" s="9" t="n">
        <f aca="false">(I22+'Model Parameters'!$D$11)/('Model Parameters'!$D$9+'Model Parameters'!$D$11*'Model Parameters'!$D$10)</f>
        <v>4.40862680092405E-006</v>
      </c>
      <c r="K22" s="12" t="n">
        <f aca="false">B22*LN(J22)</f>
        <v>-12.3319473000057</v>
      </c>
    </row>
    <row r="23" customFormat="false" ht="15" hidden="false" customHeight="true" outlineLevel="0" collapsed="false">
      <c r="A23" s="6" t="s">
        <v>275</v>
      </c>
      <c r="B23" s="6" t="n">
        <v>1</v>
      </c>
      <c r="C23" s="6" t="n">
        <v>1046</v>
      </c>
      <c r="D23" s="9" t="n">
        <f aca="false">(C23+'Model Parameters'!$B$11)/('Model Parameters'!$B$9+'Model Parameters'!$B$11*'Model Parameters'!$B$10)</f>
        <v>0.00089068254185655</v>
      </c>
      <c r="E23" s="12" t="n">
        <f aca="false">B23*LN(D23)</f>
        <v>-7.02352248819395</v>
      </c>
      <c r="F23" s="6" t="n">
        <v>0</v>
      </c>
      <c r="G23" s="9" t="n">
        <f aca="false">(F23+'Model Parameters'!$C$11)/('Model Parameters'!$C$9+'Model Parameters'!$C$11*'Model Parameters'!$C$10)</f>
        <v>1.12823648739365E-006</v>
      </c>
      <c r="H23" s="12" t="n">
        <f aca="false">B23*LN(G23)</f>
        <v>-13.6948547749176</v>
      </c>
      <c r="I23" s="6" t="n">
        <v>1</v>
      </c>
      <c r="J23" s="9" t="n">
        <f aca="false">(I23+'Model Parameters'!$D$11)/('Model Parameters'!$D$9+'Model Parameters'!$D$11*'Model Parameters'!$D$10)</f>
        <v>8.8172536018481E-006</v>
      </c>
      <c r="K23" s="12" t="n">
        <f aca="false">B23*LN(J23)</f>
        <v>-11.6388001194457</v>
      </c>
    </row>
    <row r="24" customFormat="false" ht="15" hidden="false" customHeight="true" outlineLevel="0" collapsed="false">
      <c r="A24" s="6" t="s">
        <v>276</v>
      </c>
      <c r="B24" s="6" t="n">
        <v>1</v>
      </c>
      <c r="C24" s="6" t="n">
        <v>18</v>
      </c>
      <c r="D24" s="9" t="n">
        <f aca="false">(C24+'Model Parameters'!$B$11)/('Model Parameters'!$B$9+'Model Parameters'!$B$11*'Model Parameters'!$B$10)</f>
        <v>1.61632935007397E-005</v>
      </c>
      <c r="E24" s="12" t="n">
        <f aca="false">B24*LN(D24)</f>
        <v>-11.0327677198981</v>
      </c>
      <c r="F24" s="6" t="n">
        <v>0</v>
      </c>
      <c r="G24" s="9" t="n">
        <f aca="false">(F24+'Model Parameters'!$C$11)/('Model Parameters'!$C$9+'Model Parameters'!$C$11*'Model Parameters'!$C$10)</f>
        <v>1.12823648739365E-006</v>
      </c>
      <c r="H24" s="12" t="n">
        <f aca="false">B24*LN(G24)</f>
        <v>-13.6948547749176</v>
      </c>
      <c r="I24" s="6" t="n">
        <v>0</v>
      </c>
      <c r="J24" s="9" t="n">
        <f aca="false">(I24+'Model Parameters'!$D$11)/('Model Parameters'!$D$9+'Model Parameters'!$D$11*'Model Parameters'!$D$10)</f>
        <v>4.40862680092405E-006</v>
      </c>
      <c r="K24" s="12" t="n">
        <f aca="false">B24*LN(J24)</f>
        <v>-12.3319473000057</v>
      </c>
    </row>
    <row r="25" customFormat="false" ht="15" hidden="false" customHeight="true" outlineLevel="0" collapsed="false">
      <c r="A25" s="6" t="s">
        <v>277</v>
      </c>
      <c r="B25" s="6" t="n">
        <v>1</v>
      </c>
      <c r="C25" s="6" t="n">
        <v>0</v>
      </c>
      <c r="D25" s="9" t="n">
        <f aca="false">(C25+'Model Parameters'!$B$11)/('Model Parameters'!$B$9+'Model Parameters'!$B$11*'Model Parameters'!$B$10)</f>
        <v>8.50699657933668E-007</v>
      </c>
      <c r="E25" s="12" t="n">
        <f aca="false">B25*LN(D25)</f>
        <v>-13.9772066990645</v>
      </c>
      <c r="F25" s="6" t="n">
        <v>0</v>
      </c>
      <c r="G25" s="9" t="n">
        <f aca="false">(F25+'Model Parameters'!$C$11)/('Model Parameters'!$C$9+'Model Parameters'!$C$11*'Model Parameters'!$C$10)</f>
        <v>1.12823648739365E-006</v>
      </c>
      <c r="H25" s="12" t="n">
        <f aca="false">B25*LN(G25)</f>
        <v>-13.6948547749176</v>
      </c>
      <c r="I25" s="6" t="n">
        <v>0</v>
      </c>
      <c r="J25" s="9" t="n">
        <f aca="false">(I25+'Model Parameters'!$D$11)/('Model Parameters'!$D$9+'Model Parameters'!$D$11*'Model Parameters'!$D$10)</f>
        <v>4.40862680092405E-006</v>
      </c>
      <c r="K25" s="12" t="n">
        <f aca="false">B25*LN(J25)</f>
        <v>-12.3319473000057</v>
      </c>
    </row>
    <row r="26" customFormat="false" ht="15" hidden="false" customHeight="true" outlineLevel="0" collapsed="false">
      <c r="A26" s="6" t="s">
        <v>278</v>
      </c>
      <c r="B26" s="6" t="n">
        <v>1</v>
      </c>
      <c r="C26" s="6" t="n">
        <v>0</v>
      </c>
      <c r="D26" s="9" t="n">
        <f aca="false">(C26+'Model Parameters'!$B$11)/('Model Parameters'!$B$9+'Model Parameters'!$B$11*'Model Parameters'!$B$10)</f>
        <v>8.50699657933668E-007</v>
      </c>
      <c r="E26" s="12" t="n">
        <f aca="false">B26*LN(D26)</f>
        <v>-13.9772066990645</v>
      </c>
      <c r="F26" s="6" t="n">
        <v>0</v>
      </c>
      <c r="G26" s="9" t="n">
        <f aca="false">(F26+'Model Parameters'!$C$11)/('Model Parameters'!$C$9+'Model Parameters'!$C$11*'Model Parameters'!$C$10)</f>
        <v>1.12823648739365E-006</v>
      </c>
      <c r="H26" s="12" t="n">
        <f aca="false">B26*LN(G26)</f>
        <v>-13.6948547749176</v>
      </c>
      <c r="I26" s="6" t="n">
        <v>0</v>
      </c>
      <c r="J26" s="9" t="n">
        <f aca="false">(I26+'Model Parameters'!$D$11)/('Model Parameters'!$D$9+'Model Parameters'!$D$11*'Model Parameters'!$D$10)</f>
        <v>4.40862680092405E-006</v>
      </c>
      <c r="K26" s="12" t="n">
        <f aca="false">B26*LN(J26)</f>
        <v>-12.3319473000057</v>
      </c>
    </row>
    <row r="27" customFormat="false" ht="15" hidden="false" customHeight="true" outlineLevel="0" collapsed="false">
      <c r="A27" s="6" t="s">
        <v>71</v>
      </c>
      <c r="B27" s="6" t="n">
        <v>1</v>
      </c>
      <c r="C27" s="6" t="n">
        <v>1648</v>
      </c>
      <c r="D27" s="9" t="n">
        <f aca="false">(C27+'Model Parameters'!$B$11)/('Model Parameters'!$B$9+'Model Parameters'!$B$11*'Model Parameters'!$B$10)</f>
        <v>0.00140280373593262</v>
      </c>
      <c r="E27" s="12" t="n">
        <f aca="false">B27*LN(D27)</f>
        <v>-6.56928237650489</v>
      </c>
      <c r="F27" s="6" t="n">
        <v>9</v>
      </c>
      <c r="G27" s="9" t="n">
        <f aca="false">(F27+'Model Parameters'!$C$11)/('Model Parameters'!$C$9+'Model Parameters'!$C$11*'Model Parameters'!$C$10)</f>
        <v>1.12823648739365E-005</v>
      </c>
      <c r="H27" s="12" t="n">
        <f aca="false">B27*LN(G27)</f>
        <v>-11.3922696819235</v>
      </c>
      <c r="I27" s="6" t="n">
        <v>141</v>
      </c>
      <c r="J27" s="9" t="n">
        <f aca="false">(I27+'Model Parameters'!$D$11)/('Model Parameters'!$D$9+'Model Parameters'!$D$11*'Model Parameters'!$D$10)</f>
        <v>0.000626025005731215</v>
      </c>
      <c r="K27" s="12" t="n">
        <f aca="false">B27*LN(J27)</f>
        <v>-7.37612024240443</v>
      </c>
    </row>
    <row r="28" customFormat="false" ht="15" hidden="false" customHeight="true" outlineLevel="0" collapsed="false">
      <c r="A28" s="6" t="s">
        <v>279</v>
      </c>
      <c r="B28" s="6" t="n">
        <v>1</v>
      </c>
      <c r="C28" s="6" t="n">
        <v>859</v>
      </c>
      <c r="D28" s="9" t="n">
        <f aca="false">(C28+'Model Parameters'!$B$11)/('Model Parameters'!$B$9+'Model Parameters'!$B$11*'Model Parameters'!$B$10)</f>
        <v>0.000731601705822954</v>
      </c>
      <c r="E28" s="12" t="n">
        <f aca="false">B28*LN(D28)</f>
        <v>-7.22027430981694</v>
      </c>
      <c r="F28" s="6" t="n">
        <v>0</v>
      </c>
      <c r="G28" s="9" t="n">
        <f aca="false">(F28+'Model Parameters'!$C$11)/('Model Parameters'!$C$9+'Model Parameters'!$C$11*'Model Parameters'!$C$10)</f>
        <v>1.12823648739365E-006</v>
      </c>
      <c r="H28" s="12" t="n">
        <f aca="false">B28*LN(G28)</f>
        <v>-13.6948547749176</v>
      </c>
      <c r="I28" s="6" t="n">
        <v>0</v>
      </c>
      <c r="J28" s="9" t="n">
        <f aca="false">(I28+'Model Parameters'!$D$11)/('Model Parameters'!$D$9+'Model Parameters'!$D$11*'Model Parameters'!$D$10)</f>
        <v>4.40862680092405E-006</v>
      </c>
      <c r="K28" s="12" t="n">
        <f aca="false">B28*LN(J28)</f>
        <v>-12.3319473000057</v>
      </c>
    </row>
    <row r="29" customFormat="false" ht="15" hidden="false" customHeight="true" outlineLevel="0" collapsed="false">
      <c r="A29" s="6" t="s">
        <v>76</v>
      </c>
      <c r="B29" s="6" t="n">
        <v>1</v>
      </c>
      <c r="C29" s="6" t="n">
        <v>1017</v>
      </c>
      <c r="D29" s="9" t="n">
        <f aca="false">(C29+'Model Parameters'!$B$11)/('Model Parameters'!$B$9+'Model Parameters'!$B$11*'Model Parameters'!$B$10)</f>
        <v>0.000866012251776474</v>
      </c>
      <c r="E29" s="12" t="n">
        <f aca="false">B29*LN(D29)</f>
        <v>-7.05161150195402</v>
      </c>
      <c r="F29" s="6" t="n">
        <v>5</v>
      </c>
      <c r="G29" s="9" t="n">
        <f aca="false">(F29+'Model Parameters'!$C$11)/('Model Parameters'!$C$9+'Model Parameters'!$C$11*'Model Parameters'!$C$10)</f>
        <v>6.7694189243619E-006</v>
      </c>
      <c r="H29" s="12" t="n">
        <f aca="false">B29*LN(G29)</f>
        <v>-11.9030953056895</v>
      </c>
      <c r="I29" s="6" t="n">
        <v>0</v>
      </c>
      <c r="J29" s="9" t="n">
        <f aca="false">(I29+'Model Parameters'!$D$11)/('Model Parameters'!$D$9+'Model Parameters'!$D$11*'Model Parameters'!$D$10)</f>
        <v>4.40862680092405E-006</v>
      </c>
      <c r="K29" s="12" t="n">
        <f aca="false">B29*LN(J29)</f>
        <v>-12.3319473000057</v>
      </c>
    </row>
    <row r="30" customFormat="false" ht="15" hidden="false" customHeight="true" outlineLevel="0" collapsed="false">
      <c r="A30" s="6" t="s">
        <v>280</v>
      </c>
      <c r="B30" s="6" t="n">
        <v>1</v>
      </c>
      <c r="C30" s="6" t="n">
        <v>966</v>
      </c>
      <c r="D30" s="9" t="n">
        <f aca="false">(C30+'Model Parameters'!$B$11)/('Model Parameters'!$B$9+'Model Parameters'!$B$11*'Model Parameters'!$B$10)</f>
        <v>0.000822626569221857</v>
      </c>
      <c r="E30" s="12" t="n">
        <f aca="false">B30*LN(D30)</f>
        <v>-7.1030082036112</v>
      </c>
      <c r="F30" s="6" t="n">
        <v>0</v>
      </c>
      <c r="G30" s="9" t="n">
        <f aca="false">(F30+'Model Parameters'!$C$11)/('Model Parameters'!$C$9+'Model Parameters'!$C$11*'Model Parameters'!$C$10)</f>
        <v>1.12823648739365E-006</v>
      </c>
      <c r="H30" s="12" t="n">
        <f aca="false">B30*LN(G30)</f>
        <v>-13.6948547749176</v>
      </c>
      <c r="I30" s="6" t="n">
        <v>0</v>
      </c>
      <c r="J30" s="9" t="n">
        <f aca="false">(I30+'Model Parameters'!$D$11)/('Model Parameters'!$D$9+'Model Parameters'!$D$11*'Model Parameters'!$D$10)</f>
        <v>4.40862680092405E-006</v>
      </c>
      <c r="K30" s="12" t="n">
        <f aca="false">B30*LN(J30)</f>
        <v>-12.3319473000057</v>
      </c>
    </row>
    <row r="31" customFormat="false" ht="15" hidden="false" customHeight="true" outlineLevel="0" collapsed="false">
      <c r="A31" s="6" t="s">
        <v>281</v>
      </c>
      <c r="B31" s="6" t="n">
        <v>1</v>
      </c>
      <c r="C31" s="6" t="n">
        <v>308</v>
      </c>
      <c r="D31" s="9" t="n">
        <f aca="false">(C31+'Model Parameters'!$B$11)/('Model Parameters'!$B$9+'Model Parameters'!$B$11*'Model Parameters'!$B$10)</f>
        <v>0.000262866194301503</v>
      </c>
      <c r="E31" s="12" t="n">
        <f aca="false">B31*LN(D31)</f>
        <v>-8.24386542216675</v>
      </c>
      <c r="F31" s="6" t="n">
        <v>0</v>
      </c>
      <c r="G31" s="9" t="n">
        <f aca="false">(F31+'Model Parameters'!$C$11)/('Model Parameters'!$C$9+'Model Parameters'!$C$11*'Model Parameters'!$C$10)</f>
        <v>1.12823648739365E-006</v>
      </c>
      <c r="H31" s="12" t="n">
        <f aca="false">B31*LN(G31)</f>
        <v>-13.6948547749176</v>
      </c>
      <c r="I31" s="6" t="n">
        <v>0</v>
      </c>
      <c r="J31" s="9" t="n">
        <f aca="false">(I31+'Model Parameters'!$D$11)/('Model Parameters'!$D$9+'Model Parameters'!$D$11*'Model Parameters'!$D$10)</f>
        <v>4.40862680092405E-006</v>
      </c>
      <c r="K31" s="12" t="n">
        <f aca="false">B31*LN(J31)</f>
        <v>-12.3319473000057</v>
      </c>
    </row>
    <row r="32" customFormat="false" ht="15" hidden="false" customHeight="true" outlineLevel="0" collapsed="false">
      <c r="A32" s="6" t="s">
        <v>282</v>
      </c>
      <c r="B32" s="6" t="n">
        <v>1</v>
      </c>
      <c r="C32" s="6" t="n">
        <v>19</v>
      </c>
      <c r="D32" s="9" t="n">
        <f aca="false">(C32+'Model Parameters'!$B$11)/('Model Parameters'!$B$9+'Model Parameters'!$B$11*'Model Parameters'!$B$10)</f>
        <v>1.70139931586734E-005</v>
      </c>
      <c r="E32" s="12" t="n">
        <f aca="false">B32*LN(D32)</f>
        <v>-10.9814744255105</v>
      </c>
      <c r="F32" s="6" t="n">
        <v>0</v>
      </c>
      <c r="G32" s="9" t="n">
        <f aca="false">(F32+'Model Parameters'!$C$11)/('Model Parameters'!$C$9+'Model Parameters'!$C$11*'Model Parameters'!$C$10)</f>
        <v>1.12823648739365E-006</v>
      </c>
      <c r="H32" s="12" t="n">
        <f aca="false">B32*LN(G32)</f>
        <v>-13.6948547749176</v>
      </c>
      <c r="I32" s="6" t="n">
        <v>0</v>
      </c>
      <c r="J32" s="9" t="n">
        <f aca="false">(I32+'Model Parameters'!$D$11)/('Model Parameters'!$D$9+'Model Parameters'!$D$11*'Model Parameters'!$D$10)</f>
        <v>4.40862680092405E-006</v>
      </c>
      <c r="K32" s="12" t="n">
        <f aca="false">B32*LN(J32)</f>
        <v>-12.3319473000057</v>
      </c>
    </row>
    <row r="33" customFormat="false" ht="15" hidden="false" customHeight="true" outlineLevel="0" collapsed="false">
      <c r="A33" s="6" t="s">
        <v>283</v>
      </c>
      <c r="B33" s="6" t="n">
        <v>1</v>
      </c>
      <c r="C33" s="6" t="n">
        <v>0</v>
      </c>
      <c r="D33" s="9" t="n">
        <f aca="false">(C33+'Model Parameters'!$B$11)/('Model Parameters'!$B$9+'Model Parameters'!$B$11*'Model Parameters'!$B$10)</f>
        <v>8.50699657933668E-007</v>
      </c>
      <c r="E33" s="12" t="n">
        <f aca="false">B33*LN(D33)</f>
        <v>-13.9772066990645</v>
      </c>
      <c r="F33" s="6" t="n">
        <v>0</v>
      </c>
      <c r="G33" s="9" t="n">
        <f aca="false">(F33+'Model Parameters'!$C$11)/('Model Parameters'!$C$9+'Model Parameters'!$C$11*'Model Parameters'!$C$10)</f>
        <v>1.12823648739365E-006</v>
      </c>
      <c r="H33" s="12" t="n">
        <f aca="false">B33*LN(G33)</f>
        <v>-13.6948547749176</v>
      </c>
      <c r="I33" s="6" t="n">
        <v>0</v>
      </c>
      <c r="J33" s="9" t="n">
        <f aca="false">(I33+'Model Parameters'!$D$11)/('Model Parameters'!$D$9+'Model Parameters'!$D$11*'Model Parameters'!$D$10)</f>
        <v>4.40862680092405E-006</v>
      </c>
      <c r="K33" s="12" t="n">
        <f aca="false">B33*LN(J33)</f>
        <v>-12.3319473000057</v>
      </c>
    </row>
    <row r="34" customFormat="false" ht="15" hidden="false" customHeight="true" outlineLevel="0" collapsed="false">
      <c r="A34" s="6" t="s">
        <v>284</v>
      </c>
      <c r="B34" s="6" t="n">
        <v>1</v>
      </c>
      <c r="C34" s="6" t="n">
        <v>0</v>
      </c>
      <c r="D34" s="9" t="n">
        <f aca="false">(C34+'Model Parameters'!$B$11)/('Model Parameters'!$B$9+'Model Parameters'!$B$11*'Model Parameters'!$B$10)</f>
        <v>8.50699657933668E-007</v>
      </c>
      <c r="E34" s="12" t="n">
        <f aca="false">B34*LN(D34)</f>
        <v>-13.9772066990645</v>
      </c>
      <c r="F34" s="6" t="n">
        <v>0</v>
      </c>
      <c r="G34" s="9" t="n">
        <f aca="false">(F34+'Model Parameters'!$C$11)/('Model Parameters'!$C$9+'Model Parameters'!$C$11*'Model Parameters'!$C$10)</f>
        <v>1.12823648739365E-006</v>
      </c>
      <c r="H34" s="12" t="n">
        <f aca="false">B34*LN(G34)</f>
        <v>-13.6948547749176</v>
      </c>
      <c r="I34" s="6" t="n">
        <v>0</v>
      </c>
      <c r="J34" s="9" t="n">
        <f aca="false">(I34+'Model Parameters'!$D$11)/('Model Parameters'!$D$9+'Model Parameters'!$D$11*'Model Parameters'!$D$10)</f>
        <v>4.40862680092405E-006</v>
      </c>
      <c r="K34" s="12" t="n">
        <f aca="false">B34*LN(J34)</f>
        <v>-12.3319473000057</v>
      </c>
    </row>
    <row r="35" customFormat="false" ht="15" hidden="false" customHeight="true" outlineLevel="0" collapsed="false">
      <c r="A35" s="6" t="s">
        <v>285</v>
      </c>
      <c r="B35" s="6" t="n">
        <v>1</v>
      </c>
      <c r="C35" s="6" t="n">
        <v>311</v>
      </c>
      <c r="D35" s="9" t="n">
        <f aca="false">(C35+'Model Parameters'!$B$11)/('Model Parameters'!$B$9+'Model Parameters'!$B$11*'Model Parameters'!$B$10)</f>
        <v>0.000265418293275304</v>
      </c>
      <c r="E35" s="12" t="n">
        <f aca="false">B35*LN(D35)</f>
        <v>-8.23420351125501</v>
      </c>
      <c r="F35" s="6" t="n">
        <v>0</v>
      </c>
      <c r="G35" s="9" t="n">
        <f aca="false">(F35+'Model Parameters'!$C$11)/('Model Parameters'!$C$9+'Model Parameters'!$C$11*'Model Parameters'!$C$10)</f>
        <v>1.12823648739365E-006</v>
      </c>
      <c r="H35" s="12" t="n">
        <f aca="false">B35*LN(G35)</f>
        <v>-13.6948547749176</v>
      </c>
      <c r="I35" s="6" t="n">
        <v>0</v>
      </c>
      <c r="J35" s="9" t="n">
        <f aca="false">(I35+'Model Parameters'!$D$11)/('Model Parameters'!$D$9+'Model Parameters'!$D$11*'Model Parameters'!$D$10)</f>
        <v>4.40862680092405E-006</v>
      </c>
      <c r="K35" s="12" t="n">
        <f aca="false">B35*LN(J35)</f>
        <v>-12.3319473000057</v>
      </c>
    </row>
    <row r="36" customFormat="false" ht="15" hidden="false" customHeight="true" outlineLevel="0" collapsed="false">
      <c r="A36" s="6" t="s">
        <v>286</v>
      </c>
      <c r="B36" s="6" t="n">
        <v>1</v>
      </c>
      <c r="C36" s="6" t="n">
        <v>270</v>
      </c>
      <c r="D36" s="9" t="n">
        <f aca="false">(C36+'Model Parameters'!$B$11)/('Model Parameters'!$B$9+'Model Parameters'!$B$11*'Model Parameters'!$B$10)</f>
        <v>0.000230539607300024</v>
      </c>
      <c r="E36" s="12" t="n">
        <f aca="false">B36*LN(D36)</f>
        <v>-8.37508787818479</v>
      </c>
      <c r="F36" s="6" t="n">
        <v>0</v>
      </c>
      <c r="G36" s="9" t="n">
        <f aca="false">(F36+'Model Parameters'!$C$11)/('Model Parameters'!$C$9+'Model Parameters'!$C$11*'Model Parameters'!$C$10)</f>
        <v>1.12823648739365E-006</v>
      </c>
      <c r="H36" s="12" t="n">
        <f aca="false">B36*LN(G36)</f>
        <v>-13.6948547749176</v>
      </c>
      <c r="I36" s="6" t="n">
        <v>0</v>
      </c>
      <c r="J36" s="9" t="n">
        <f aca="false">(I36+'Model Parameters'!$D$11)/('Model Parameters'!$D$9+'Model Parameters'!$D$11*'Model Parameters'!$D$10)</f>
        <v>4.40862680092405E-006</v>
      </c>
      <c r="K36" s="12" t="n">
        <f aca="false">B36*LN(J36)</f>
        <v>-12.3319473000057</v>
      </c>
    </row>
    <row r="37" customFormat="false" ht="15" hidden="false" customHeight="true" outlineLevel="0" collapsed="false">
      <c r="A37" s="6" t="s">
        <v>287</v>
      </c>
      <c r="B37" s="6" t="n">
        <v>1</v>
      </c>
      <c r="C37" s="6" t="n">
        <v>23</v>
      </c>
      <c r="D37" s="9" t="n">
        <f aca="false">(C37+'Model Parameters'!$B$11)/('Model Parameters'!$B$9+'Model Parameters'!$B$11*'Model Parameters'!$B$10)</f>
        <v>2.0416791790408E-005</v>
      </c>
      <c r="E37" s="12" t="n">
        <f aca="false">B37*LN(D37)</f>
        <v>-10.7991528687165</v>
      </c>
      <c r="F37" s="6" t="n">
        <v>0</v>
      </c>
      <c r="G37" s="9" t="n">
        <f aca="false">(F37+'Model Parameters'!$C$11)/('Model Parameters'!$C$9+'Model Parameters'!$C$11*'Model Parameters'!$C$10)</f>
        <v>1.12823648739365E-006</v>
      </c>
      <c r="H37" s="12" t="n">
        <f aca="false">B37*LN(G37)</f>
        <v>-13.6948547749176</v>
      </c>
      <c r="I37" s="6" t="n">
        <v>0</v>
      </c>
      <c r="J37" s="9" t="n">
        <f aca="false">(I37+'Model Parameters'!$D$11)/('Model Parameters'!$D$9+'Model Parameters'!$D$11*'Model Parameters'!$D$10)</f>
        <v>4.40862680092405E-006</v>
      </c>
      <c r="K37" s="12" t="n">
        <f aca="false">B37*LN(J37)</f>
        <v>-12.3319473000057</v>
      </c>
    </row>
    <row r="38" customFormat="false" ht="15" hidden="false" customHeight="true" outlineLevel="0" collapsed="false">
      <c r="A38" s="6" t="s">
        <v>288</v>
      </c>
      <c r="B38" s="6" t="n">
        <v>1</v>
      </c>
      <c r="C38" s="6" t="n">
        <v>23</v>
      </c>
      <c r="D38" s="9" t="n">
        <f aca="false">(C38+'Model Parameters'!$B$11)/('Model Parameters'!$B$9+'Model Parameters'!$B$11*'Model Parameters'!$B$10)</f>
        <v>2.0416791790408E-005</v>
      </c>
      <c r="E38" s="12" t="n">
        <f aca="false">B38*LN(D38)</f>
        <v>-10.7991528687165</v>
      </c>
      <c r="F38" s="6" t="n">
        <v>0</v>
      </c>
      <c r="G38" s="9" t="n">
        <f aca="false">(F38+'Model Parameters'!$C$11)/('Model Parameters'!$C$9+'Model Parameters'!$C$11*'Model Parameters'!$C$10)</f>
        <v>1.12823648739365E-006</v>
      </c>
      <c r="H38" s="12" t="n">
        <f aca="false">B38*LN(G38)</f>
        <v>-13.6948547749176</v>
      </c>
      <c r="I38" s="6" t="n">
        <v>0</v>
      </c>
      <c r="J38" s="9" t="n">
        <f aca="false">(I38+'Model Parameters'!$D$11)/('Model Parameters'!$D$9+'Model Parameters'!$D$11*'Model Parameters'!$D$10)</f>
        <v>4.40862680092405E-006</v>
      </c>
      <c r="K38" s="12" t="n">
        <f aca="false">B38*LN(J38)</f>
        <v>-12.3319473000057</v>
      </c>
    </row>
    <row r="39" customFormat="false" ht="15" hidden="false" customHeight="true" outlineLevel="0" collapsed="false">
      <c r="A39" s="6" t="s">
        <v>289</v>
      </c>
      <c r="B39" s="6" t="n">
        <v>1</v>
      </c>
      <c r="C39" s="6" t="n">
        <v>23</v>
      </c>
      <c r="D39" s="9" t="n">
        <f aca="false">(C39+'Model Parameters'!$B$11)/('Model Parameters'!$B$9+'Model Parameters'!$B$11*'Model Parameters'!$B$10)</f>
        <v>2.0416791790408E-005</v>
      </c>
      <c r="E39" s="12" t="n">
        <f aca="false">B39*LN(D39)</f>
        <v>-10.7991528687165</v>
      </c>
      <c r="F39" s="6" t="n">
        <v>0</v>
      </c>
      <c r="G39" s="9" t="n">
        <f aca="false">(F39+'Model Parameters'!$C$11)/('Model Parameters'!$C$9+'Model Parameters'!$C$11*'Model Parameters'!$C$10)</f>
        <v>1.12823648739365E-006</v>
      </c>
      <c r="H39" s="12" t="n">
        <f aca="false">B39*LN(G39)</f>
        <v>-13.6948547749176</v>
      </c>
      <c r="I39" s="6" t="n">
        <v>629</v>
      </c>
      <c r="J39" s="9" t="n">
        <f aca="false">(I39+'Model Parameters'!$D$11)/('Model Parameters'!$D$9+'Model Parameters'!$D$11*'Model Parameters'!$D$10)</f>
        <v>0.00277743488458215</v>
      </c>
      <c r="K39" s="12" t="n">
        <f aca="false">B39*LN(J39)</f>
        <v>-5.88622748062012</v>
      </c>
    </row>
    <row r="40" customFormat="false" ht="15" hidden="false" customHeight="true" outlineLevel="0" collapsed="false">
      <c r="A40" s="6" t="s">
        <v>290</v>
      </c>
      <c r="B40" s="6" t="n">
        <v>1</v>
      </c>
      <c r="C40" s="6" t="n">
        <v>23</v>
      </c>
      <c r="D40" s="9" t="n">
        <f aca="false">(C40+'Model Parameters'!$B$11)/('Model Parameters'!$B$9+'Model Parameters'!$B$11*'Model Parameters'!$B$10)</f>
        <v>2.0416791790408E-005</v>
      </c>
      <c r="E40" s="12" t="n">
        <f aca="false">B40*LN(D40)</f>
        <v>-10.7991528687165</v>
      </c>
      <c r="F40" s="6" t="n">
        <v>0</v>
      </c>
      <c r="G40" s="9" t="n">
        <f aca="false">(F40+'Model Parameters'!$C$11)/('Model Parameters'!$C$9+'Model Parameters'!$C$11*'Model Parameters'!$C$10)</f>
        <v>1.12823648739365E-006</v>
      </c>
      <c r="H40" s="12" t="n">
        <f aca="false">B40*LN(G40)</f>
        <v>-13.6948547749176</v>
      </c>
      <c r="I40" s="6" t="n">
        <v>0</v>
      </c>
      <c r="J40" s="9" t="n">
        <f aca="false">(I40+'Model Parameters'!$D$11)/('Model Parameters'!$D$9+'Model Parameters'!$D$11*'Model Parameters'!$D$10)</f>
        <v>4.40862680092405E-006</v>
      </c>
      <c r="K40" s="12" t="n">
        <f aca="false">B40*LN(J40)</f>
        <v>-12.3319473000057</v>
      </c>
    </row>
    <row r="41" customFormat="false" ht="15" hidden="false" customHeight="true" outlineLevel="0" collapsed="false">
      <c r="A41" s="6" t="s">
        <v>291</v>
      </c>
      <c r="B41" s="6" t="n">
        <v>1</v>
      </c>
      <c r="C41" s="6" t="n">
        <v>869</v>
      </c>
      <c r="D41" s="9" t="n">
        <f aca="false">(C41+'Model Parameters'!$B$11)/('Model Parameters'!$B$9+'Model Parameters'!$B$11*'Model Parameters'!$B$10)</f>
        <v>0.000740108702402291</v>
      </c>
      <c r="E41" s="12" t="n">
        <f aca="false">B41*LN(D41)</f>
        <v>-7.20871348741586</v>
      </c>
      <c r="F41" s="6" t="n">
        <v>0</v>
      </c>
      <c r="G41" s="9" t="n">
        <f aca="false">(F41+'Model Parameters'!$C$11)/('Model Parameters'!$C$9+'Model Parameters'!$C$11*'Model Parameters'!$C$10)</f>
        <v>1.12823648739365E-006</v>
      </c>
      <c r="H41" s="12" t="n">
        <f aca="false">B41*LN(G41)</f>
        <v>-13.6948547749176</v>
      </c>
      <c r="I41" s="6" t="n">
        <v>0</v>
      </c>
      <c r="J41" s="9" t="n">
        <f aca="false">(I41+'Model Parameters'!$D$11)/('Model Parameters'!$D$9+'Model Parameters'!$D$11*'Model Parameters'!$D$10)</f>
        <v>4.40862680092405E-006</v>
      </c>
      <c r="K41" s="12" t="n">
        <f aca="false">B41*LN(J41)</f>
        <v>-12.3319473000057</v>
      </c>
    </row>
    <row r="42" customFormat="false" ht="15" hidden="false" customHeight="true" outlineLevel="0" collapsed="false">
      <c r="A42" s="6" t="s">
        <v>292</v>
      </c>
      <c r="B42" s="6" t="n">
        <v>1</v>
      </c>
      <c r="C42" s="6" t="n">
        <v>311</v>
      </c>
      <c r="D42" s="9" t="n">
        <f aca="false">(C42+'Model Parameters'!$B$11)/('Model Parameters'!$B$9+'Model Parameters'!$B$11*'Model Parameters'!$B$10)</f>
        <v>0.000265418293275304</v>
      </c>
      <c r="E42" s="12" t="n">
        <f aca="false">B42*LN(D42)</f>
        <v>-8.23420351125501</v>
      </c>
      <c r="F42" s="6" t="n">
        <v>0</v>
      </c>
      <c r="G42" s="9" t="n">
        <f aca="false">(F42+'Model Parameters'!$C$11)/('Model Parameters'!$C$9+'Model Parameters'!$C$11*'Model Parameters'!$C$10)</f>
        <v>1.12823648739365E-006</v>
      </c>
      <c r="H42" s="12" t="n">
        <f aca="false">B42*LN(G42)</f>
        <v>-13.6948547749176</v>
      </c>
      <c r="I42" s="6" t="n">
        <v>0</v>
      </c>
      <c r="J42" s="9" t="n">
        <f aca="false">(I42+'Model Parameters'!$D$11)/('Model Parameters'!$D$9+'Model Parameters'!$D$11*'Model Parameters'!$D$10)</f>
        <v>4.40862680092405E-006</v>
      </c>
      <c r="K42" s="12" t="n">
        <f aca="false">B42*LN(J42)</f>
        <v>-12.3319473000057</v>
      </c>
    </row>
    <row r="43" customFormat="false" ht="15" hidden="false" customHeight="true" outlineLevel="0" collapsed="false">
      <c r="A43" s="6" t="s">
        <v>293</v>
      </c>
      <c r="B43" s="6" t="n">
        <v>1</v>
      </c>
      <c r="C43" s="6" t="n">
        <v>311</v>
      </c>
      <c r="D43" s="9" t="n">
        <f aca="false">(C43+'Model Parameters'!$B$11)/('Model Parameters'!$B$9+'Model Parameters'!$B$11*'Model Parameters'!$B$10)</f>
        <v>0.000265418293275304</v>
      </c>
      <c r="E43" s="12" t="n">
        <f aca="false">B43*LN(D43)</f>
        <v>-8.23420351125501</v>
      </c>
      <c r="F43" s="6" t="n">
        <v>0</v>
      </c>
      <c r="G43" s="9" t="n">
        <f aca="false">(F43+'Model Parameters'!$C$11)/('Model Parameters'!$C$9+'Model Parameters'!$C$11*'Model Parameters'!$C$10)</f>
        <v>1.12823648739365E-006</v>
      </c>
      <c r="H43" s="12" t="n">
        <f aca="false">B43*LN(G43)</f>
        <v>-13.6948547749176</v>
      </c>
      <c r="I43" s="6" t="n">
        <v>0</v>
      </c>
      <c r="J43" s="9" t="n">
        <f aca="false">(I43+'Model Parameters'!$D$11)/('Model Parameters'!$D$9+'Model Parameters'!$D$11*'Model Parameters'!$D$10)</f>
        <v>4.40862680092405E-006</v>
      </c>
      <c r="K43" s="12" t="n">
        <f aca="false">B43*LN(J43)</f>
        <v>-12.3319473000057</v>
      </c>
    </row>
    <row r="44" customFormat="false" ht="15" hidden="false" customHeight="true" outlineLevel="0" collapsed="false">
      <c r="A44" s="6" t="s">
        <v>294</v>
      </c>
      <c r="B44" s="6" t="n">
        <v>1</v>
      </c>
      <c r="C44" s="6" t="n">
        <v>971</v>
      </c>
      <c r="D44" s="9" t="n">
        <f aca="false">(C44+'Model Parameters'!$B$11)/('Model Parameters'!$B$9+'Model Parameters'!$B$11*'Model Parameters'!$B$10)</f>
        <v>0.000826880067511525</v>
      </c>
      <c r="E44" s="12" t="n">
        <f aca="false">B44*LN(D44)</f>
        <v>-7.09785089460405</v>
      </c>
      <c r="F44" s="6" t="n">
        <v>0</v>
      </c>
      <c r="G44" s="9" t="n">
        <f aca="false">(F44+'Model Parameters'!$C$11)/('Model Parameters'!$C$9+'Model Parameters'!$C$11*'Model Parameters'!$C$10)</f>
        <v>1.12823648739365E-006</v>
      </c>
      <c r="H44" s="12" t="n">
        <f aca="false">B44*LN(G44)</f>
        <v>-13.6948547749176</v>
      </c>
      <c r="I44" s="6" t="n">
        <v>0</v>
      </c>
      <c r="J44" s="9" t="n">
        <f aca="false">(I44+'Model Parameters'!$D$11)/('Model Parameters'!$D$9+'Model Parameters'!$D$11*'Model Parameters'!$D$10)</f>
        <v>4.40862680092405E-006</v>
      </c>
      <c r="K44" s="12" t="n">
        <f aca="false">B44*LN(J44)</f>
        <v>-12.3319473000057</v>
      </c>
    </row>
    <row r="45" customFormat="false" ht="15" hidden="false" customHeight="true" outlineLevel="0" collapsed="false">
      <c r="A45" s="6" t="s">
        <v>295</v>
      </c>
      <c r="B45" s="6" t="n">
        <v>1</v>
      </c>
      <c r="C45" s="6" t="n">
        <v>18</v>
      </c>
      <c r="D45" s="9" t="n">
        <f aca="false">(C45+'Model Parameters'!$B$11)/('Model Parameters'!$B$9+'Model Parameters'!$B$11*'Model Parameters'!$B$10)</f>
        <v>1.61632935007397E-005</v>
      </c>
      <c r="E45" s="12" t="n">
        <f aca="false">B45*LN(D45)</f>
        <v>-11.0327677198981</v>
      </c>
      <c r="F45" s="6" t="n">
        <v>0</v>
      </c>
      <c r="G45" s="9" t="n">
        <f aca="false">(F45+'Model Parameters'!$C$11)/('Model Parameters'!$C$9+'Model Parameters'!$C$11*'Model Parameters'!$C$10)</f>
        <v>1.12823648739365E-006</v>
      </c>
      <c r="H45" s="12" t="n">
        <f aca="false">B45*LN(G45)</f>
        <v>-13.6948547749176</v>
      </c>
      <c r="I45" s="6" t="n">
        <v>0</v>
      </c>
      <c r="J45" s="9" t="n">
        <f aca="false">(I45+'Model Parameters'!$D$11)/('Model Parameters'!$D$9+'Model Parameters'!$D$11*'Model Parameters'!$D$10)</f>
        <v>4.40862680092405E-006</v>
      </c>
      <c r="K45" s="12" t="n">
        <f aca="false">B45*LN(J45)</f>
        <v>-12.3319473000057</v>
      </c>
    </row>
    <row r="46" customFormat="false" ht="15" hidden="false" customHeight="true" outlineLevel="0" collapsed="false">
      <c r="A46" s="6" t="s">
        <v>296</v>
      </c>
      <c r="B46" s="6" t="n">
        <v>1</v>
      </c>
      <c r="C46" s="6" t="n">
        <v>1559</v>
      </c>
      <c r="D46" s="9" t="n">
        <f aca="false">(C46+'Model Parameters'!$B$11)/('Model Parameters'!$B$9+'Model Parameters'!$B$11*'Model Parameters'!$B$10)</f>
        <v>0.00132709146637652</v>
      </c>
      <c r="E46" s="12" t="n">
        <f aca="false">B46*LN(D46)</f>
        <v>-6.62476559882091</v>
      </c>
      <c r="F46" s="6" t="n">
        <v>0</v>
      </c>
      <c r="G46" s="9" t="n">
        <f aca="false">(F46+'Model Parameters'!$C$11)/('Model Parameters'!$C$9+'Model Parameters'!$C$11*'Model Parameters'!$C$10)</f>
        <v>1.12823648739365E-006</v>
      </c>
      <c r="H46" s="12" t="n">
        <f aca="false">B46*LN(G46)</f>
        <v>-13.6948547749176</v>
      </c>
      <c r="I46" s="6" t="n">
        <v>0</v>
      </c>
      <c r="J46" s="9" t="n">
        <f aca="false">(I46+'Model Parameters'!$D$11)/('Model Parameters'!$D$9+'Model Parameters'!$D$11*'Model Parameters'!$D$10)</f>
        <v>4.40862680092405E-006</v>
      </c>
      <c r="K46" s="12" t="n">
        <f aca="false">B46*LN(J46)</f>
        <v>-12.3319473000057</v>
      </c>
    </row>
    <row r="47" customFormat="false" ht="15" hidden="false" customHeight="true" outlineLevel="0" collapsed="false">
      <c r="A47" s="6" t="s">
        <v>297</v>
      </c>
      <c r="B47" s="6" t="n">
        <v>1</v>
      </c>
      <c r="C47" s="6" t="n">
        <v>21</v>
      </c>
      <c r="D47" s="9" t="n">
        <f aca="false">(C47+'Model Parameters'!$B$11)/('Model Parameters'!$B$9+'Model Parameters'!$B$11*'Model Parameters'!$B$10)</f>
        <v>1.87153924745407E-005</v>
      </c>
      <c r="E47" s="12" t="n">
        <f aca="false">B47*LN(D47)</f>
        <v>-10.8861642457062</v>
      </c>
      <c r="F47" s="6" t="n">
        <v>0</v>
      </c>
      <c r="G47" s="9" t="n">
        <f aca="false">(F47+'Model Parameters'!$C$11)/('Model Parameters'!$C$9+'Model Parameters'!$C$11*'Model Parameters'!$C$10)</f>
        <v>1.12823648739365E-006</v>
      </c>
      <c r="H47" s="12" t="n">
        <f aca="false">B47*LN(G47)</f>
        <v>-13.6948547749176</v>
      </c>
      <c r="I47" s="6" t="n">
        <v>0</v>
      </c>
      <c r="J47" s="9" t="n">
        <f aca="false">(I47+'Model Parameters'!$D$11)/('Model Parameters'!$D$9+'Model Parameters'!$D$11*'Model Parameters'!$D$10)</f>
        <v>4.40862680092405E-006</v>
      </c>
      <c r="K47" s="12" t="n">
        <f aca="false">B47*LN(J47)</f>
        <v>-12.3319473000057</v>
      </c>
    </row>
    <row r="48" customFormat="false" ht="15" hidden="false" customHeight="true" outlineLevel="0" collapsed="false">
      <c r="A48" s="6" t="s">
        <v>298</v>
      </c>
      <c r="B48" s="6" t="n">
        <v>1</v>
      </c>
      <c r="C48" s="6" t="n">
        <v>4</v>
      </c>
      <c r="D48" s="9" t="n">
        <f aca="false">(C48+'Model Parameters'!$B$11)/('Model Parameters'!$B$9+'Model Parameters'!$B$11*'Model Parameters'!$B$10)</f>
        <v>4.25349828966834E-006</v>
      </c>
      <c r="E48" s="12" t="n">
        <f aca="false">B48*LN(D48)</f>
        <v>-12.3677687866304</v>
      </c>
      <c r="F48" s="6" t="n">
        <v>0</v>
      </c>
      <c r="G48" s="9" t="n">
        <f aca="false">(F48+'Model Parameters'!$C$11)/('Model Parameters'!$C$9+'Model Parameters'!$C$11*'Model Parameters'!$C$10)</f>
        <v>1.12823648739365E-006</v>
      </c>
      <c r="H48" s="12" t="n">
        <f aca="false">B48*LN(G48)</f>
        <v>-13.6948547749176</v>
      </c>
      <c r="I48" s="6" t="n">
        <v>0</v>
      </c>
      <c r="J48" s="9" t="n">
        <f aca="false">(I48+'Model Parameters'!$D$11)/('Model Parameters'!$D$9+'Model Parameters'!$D$11*'Model Parameters'!$D$10)</f>
        <v>4.40862680092405E-006</v>
      </c>
      <c r="K48" s="12" t="n">
        <f aca="false">B48*LN(J48)</f>
        <v>-12.3319473000057</v>
      </c>
    </row>
    <row r="49" customFormat="false" ht="15" hidden="false" customHeight="true" outlineLevel="0" collapsed="false">
      <c r="A49" s="6" t="s">
        <v>299</v>
      </c>
      <c r="B49" s="6" t="n">
        <v>1</v>
      </c>
      <c r="C49" s="6" t="n">
        <v>1</v>
      </c>
      <c r="D49" s="9" t="n">
        <f aca="false">(C49+'Model Parameters'!$B$11)/('Model Parameters'!$B$9+'Model Parameters'!$B$11*'Model Parameters'!$B$10)</f>
        <v>1.70139931586734E-006</v>
      </c>
      <c r="E49" s="12" t="n">
        <f aca="false">B49*LN(D49)</f>
        <v>-13.2840595185045</v>
      </c>
      <c r="F49" s="6" t="n">
        <v>0</v>
      </c>
      <c r="G49" s="9" t="n">
        <f aca="false">(F49+'Model Parameters'!$C$11)/('Model Parameters'!$C$9+'Model Parameters'!$C$11*'Model Parameters'!$C$10)</f>
        <v>1.12823648739365E-006</v>
      </c>
      <c r="H49" s="12" t="n">
        <f aca="false">B49*LN(G49)</f>
        <v>-13.6948547749176</v>
      </c>
      <c r="I49" s="6" t="n">
        <v>0</v>
      </c>
      <c r="J49" s="9" t="n">
        <f aca="false">(I49+'Model Parameters'!$D$11)/('Model Parameters'!$D$9+'Model Parameters'!$D$11*'Model Parameters'!$D$10)</f>
        <v>4.40862680092405E-006</v>
      </c>
      <c r="K49" s="12" t="n">
        <f aca="false">B49*LN(J49)</f>
        <v>-12.3319473000057</v>
      </c>
    </row>
    <row r="50" customFormat="false" ht="15" hidden="false" customHeight="true" outlineLevel="0" collapsed="false">
      <c r="A50" s="6" t="s">
        <v>300</v>
      </c>
      <c r="B50" s="6" t="n">
        <v>1</v>
      </c>
      <c r="C50" s="6" t="n">
        <v>18</v>
      </c>
      <c r="D50" s="9" t="n">
        <f aca="false">(C50+'Model Parameters'!$B$11)/('Model Parameters'!$B$9+'Model Parameters'!$B$11*'Model Parameters'!$B$10)</f>
        <v>1.61632935007397E-005</v>
      </c>
      <c r="E50" s="12" t="n">
        <f aca="false">B50*LN(D50)</f>
        <v>-11.0327677198981</v>
      </c>
      <c r="F50" s="6" t="n">
        <v>0</v>
      </c>
      <c r="G50" s="9" t="n">
        <f aca="false">(F50+'Model Parameters'!$C$11)/('Model Parameters'!$C$9+'Model Parameters'!$C$11*'Model Parameters'!$C$10)</f>
        <v>1.12823648739365E-006</v>
      </c>
      <c r="H50" s="12" t="n">
        <f aca="false">B50*LN(G50)</f>
        <v>-13.6948547749176</v>
      </c>
      <c r="I50" s="6" t="n">
        <v>0</v>
      </c>
      <c r="J50" s="9" t="n">
        <f aca="false">(I50+'Model Parameters'!$D$11)/('Model Parameters'!$D$9+'Model Parameters'!$D$11*'Model Parameters'!$D$10)</f>
        <v>4.40862680092405E-006</v>
      </c>
      <c r="K50" s="12" t="n">
        <f aca="false">B50*LN(J50)</f>
        <v>-12.3319473000057</v>
      </c>
    </row>
    <row r="51" customFormat="false" ht="15" hidden="false" customHeight="true" outlineLevel="0" collapsed="false">
      <c r="A51" s="6" t="s">
        <v>301</v>
      </c>
      <c r="B51" s="6" t="n">
        <v>1</v>
      </c>
      <c r="C51" s="6" t="n">
        <v>18</v>
      </c>
      <c r="D51" s="9" t="n">
        <f aca="false">(C51+'Model Parameters'!$B$11)/('Model Parameters'!$B$9+'Model Parameters'!$B$11*'Model Parameters'!$B$10)</f>
        <v>1.61632935007397E-005</v>
      </c>
      <c r="E51" s="12" t="n">
        <f aca="false">B51*LN(D51)</f>
        <v>-11.0327677198981</v>
      </c>
      <c r="F51" s="6" t="n">
        <v>0</v>
      </c>
      <c r="G51" s="9" t="n">
        <f aca="false">(F51+'Model Parameters'!$C$11)/('Model Parameters'!$C$9+'Model Parameters'!$C$11*'Model Parameters'!$C$10)</f>
        <v>1.12823648739365E-006</v>
      </c>
      <c r="H51" s="12" t="n">
        <f aca="false">B51*LN(G51)</f>
        <v>-13.6948547749176</v>
      </c>
      <c r="I51" s="6" t="n">
        <v>0</v>
      </c>
      <c r="J51" s="9" t="n">
        <f aca="false">(I51+'Model Parameters'!$D$11)/('Model Parameters'!$D$9+'Model Parameters'!$D$11*'Model Parameters'!$D$10)</f>
        <v>4.40862680092405E-006</v>
      </c>
      <c r="K51" s="12" t="n">
        <f aca="false">B51*LN(J51)</f>
        <v>-12.3319473000057</v>
      </c>
    </row>
    <row r="52" customFormat="false" ht="15" hidden="false" customHeight="true" outlineLevel="0" collapsed="false">
      <c r="A52" s="6" t="s">
        <v>302</v>
      </c>
      <c r="B52" s="6" t="n">
        <v>1</v>
      </c>
      <c r="C52" s="6" t="n">
        <v>840</v>
      </c>
      <c r="D52" s="9" t="n">
        <f aca="false">(C52+'Model Parameters'!$B$11)/('Model Parameters'!$B$9+'Model Parameters'!$B$11*'Model Parameters'!$B$10)</f>
        <v>0.000715438412322214</v>
      </c>
      <c r="E52" s="12" t="n">
        <f aca="false">B52*LN(D52)</f>
        <v>-7.24261503909154</v>
      </c>
      <c r="F52" s="6" t="n">
        <v>0</v>
      </c>
      <c r="G52" s="9" t="n">
        <f aca="false">(F52+'Model Parameters'!$C$11)/('Model Parameters'!$C$9+'Model Parameters'!$C$11*'Model Parameters'!$C$10)</f>
        <v>1.12823648739365E-006</v>
      </c>
      <c r="H52" s="12" t="n">
        <f aca="false">B52*LN(G52)</f>
        <v>-13.6948547749176</v>
      </c>
      <c r="I52" s="6" t="n">
        <v>0</v>
      </c>
      <c r="J52" s="9" t="n">
        <f aca="false">(I52+'Model Parameters'!$D$11)/('Model Parameters'!$D$9+'Model Parameters'!$D$11*'Model Parameters'!$D$10)</f>
        <v>4.40862680092405E-006</v>
      </c>
      <c r="K52" s="12" t="n">
        <f aca="false">B52*LN(J52)</f>
        <v>-12.3319473000057</v>
      </c>
    </row>
    <row r="53" customFormat="false" ht="15" hidden="false" customHeight="true" outlineLevel="0" collapsed="false">
      <c r="A53" s="6" t="s">
        <v>303</v>
      </c>
      <c r="B53" s="6" t="n">
        <v>1</v>
      </c>
      <c r="C53" s="6" t="n">
        <v>0</v>
      </c>
      <c r="D53" s="9" t="n">
        <f aca="false">(C53+'Model Parameters'!$B$11)/('Model Parameters'!$B$9+'Model Parameters'!$B$11*'Model Parameters'!$B$10)</f>
        <v>8.50699657933668E-007</v>
      </c>
      <c r="E53" s="12" t="n">
        <f aca="false">B53*LN(D53)</f>
        <v>-13.9772066990645</v>
      </c>
      <c r="F53" s="6" t="n">
        <v>0</v>
      </c>
      <c r="G53" s="9" t="n">
        <f aca="false">(F53+'Model Parameters'!$C$11)/('Model Parameters'!$C$9+'Model Parameters'!$C$11*'Model Parameters'!$C$10)</f>
        <v>1.12823648739365E-006</v>
      </c>
      <c r="H53" s="12" t="n">
        <f aca="false">B53*LN(G53)</f>
        <v>-13.6948547749176</v>
      </c>
      <c r="I53" s="6" t="n">
        <v>0</v>
      </c>
      <c r="J53" s="9" t="n">
        <f aca="false">(I53+'Model Parameters'!$D$11)/('Model Parameters'!$D$9+'Model Parameters'!$D$11*'Model Parameters'!$D$10)</f>
        <v>4.40862680092405E-006</v>
      </c>
      <c r="K53" s="12" t="n">
        <f aca="false">B53*LN(J53)</f>
        <v>-12.3319473000057</v>
      </c>
    </row>
    <row r="54" customFormat="false" ht="15" hidden="false" customHeight="true" outlineLevel="0" collapsed="false">
      <c r="A54" s="6" t="s">
        <v>110</v>
      </c>
      <c r="B54" s="6" t="n">
        <v>1</v>
      </c>
      <c r="C54" s="6" t="n">
        <v>977</v>
      </c>
      <c r="D54" s="9" t="n">
        <f aca="false">(C54+'Model Parameters'!$B$11)/('Model Parameters'!$B$9+'Model Parameters'!$B$11*'Model Parameters'!$B$10)</f>
        <v>0.000831984265459127</v>
      </c>
      <c r="E54" s="12" t="n">
        <f aca="false">B54*LN(D54)</f>
        <v>-7.09169702902968</v>
      </c>
      <c r="F54" s="6" t="n">
        <v>0</v>
      </c>
      <c r="G54" s="9" t="n">
        <f aca="false">(F54+'Model Parameters'!$C$11)/('Model Parameters'!$C$9+'Model Parameters'!$C$11*'Model Parameters'!$C$10)</f>
        <v>1.12823648739365E-006</v>
      </c>
      <c r="H54" s="12" t="n">
        <f aca="false">B54*LN(G54)</f>
        <v>-13.6948547749176</v>
      </c>
      <c r="I54" s="6" t="n">
        <v>0</v>
      </c>
      <c r="J54" s="9" t="n">
        <f aca="false">(I54+'Model Parameters'!$D$11)/('Model Parameters'!$D$9+'Model Parameters'!$D$11*'Model Parameters'!$D$10)</f>
        <v>4.40862680092405E-006</v>
      </c>
      <c r="K54" s="12" t="n">
        <f aca="false">B54*LN(J54)</f>
        <v>-12.3319473000057</v>
      </c>
    </row>
    <row r="55" customFormat="false" ht="15" hidden="false" customHeight="true" outlineLevel="0" collapsed="false">
      <c r="A55" s="6" t="s">
        <v>304</v>
      </c>
      <c r="B55" s="6" t="n">
        <v>1</v>
      </c>
      <c r="C55" s="6" t="n">
        <v>18</v>
      </c>
      <c r="D55" s="9" t="n">
        <f aca="false">(C55+'Model Parameters'!$B$11)/('Model Parameters'!$B$9+'Model Parameters'!$B$11*'Model Parameters'!$B$10)</f>
        <v>1.61632935007397E-005</v>
      </c>
      <c r="E55" s="12" t="n">
        <f aca="false">B55*LN(D55)</f>
        <v>-11.0327677198981</v>
      </c>
      <c r="F55" s="6" t="n">
        <v>0</v>
      </c>
      <c r="G55" s="9" t="n">
        <f aca="false">(F55+'Model Parameters'!$C$11)/('Model Parameters'!$C$9+'Model Parameters'!$C$11*'Model Parameters'!$C$10)</f>
        <v>1.12823648739365E-006</v>
      </c>
      <c r="H55" s="12" t="n">
        <f aca="false">B55*LN(G55)</f>
        <v>-13.6948547749176</v>
      </c>
      <c r="I55" s="6" t="n">
        <v>0</v>
      </c>
      <c r="J55" s="9" t="n">
        <f aca="false">(I55+'Model Parameters'!$D$11)/('Model Parameters'!$D$9+'Model Parameters'!$D$11*'Model Parameters'!$D$10)</f>
        <v>4.40862680092405E-006</v>
      </c>
      <c r="K55" s="12" t="n">
        <f aca="false">B55*LN(J55)</f>
        <v>-12.3319473000057</v>
      </c>
    </row>
    <row r="56" customFormat="false" ht="15" hidden="false" customHeight="true" outlineLevel="0" collapsed="false">
      <c r="A56" s="6" t="s">
        <v>305</v>
      </c>
      <c r="B56" s="6" t="n">
        <v>1</v>
      </c>
      <c r="C56" s="6" t="n">
        <v>18</v>
      </c>
      <c r="D56" s="9" t="n">
        <f aca="false">(C56+'Model Parameters'!$B$11)/('Model Parameters'!$B$9+'Model Parameters'!$B$11*'Model Parameters'!$B$10)</f>
        <v>1.61632935007397E-005</v>
      </c>
      <c r="E56" s="12" t="n">
        <f aca="false">B56*LN(D56)</f>
        <v>-11.0327677198981</v>
      </c>
      <c r="F56" s="6" t="n">
        <v>0</v>
      </c>
      <c r="G56" s="9" t="n">
        <f aca="false">(F56+'Model Parameters'!$C$11)/('Model Parameters'!$C$9+'Model Parameters'!$C$11*'Model Parameters'!$C$10)</f>
        <v>1.12823648739365E-006</v>
      </c>
      <c r="H56" s="12" t="n">
        <f aca="false">B56*LN(G56)</f>
        <v>-13.6948547749176</v>
      </c>
      <c r="I56" s="6" t="n">
        <v>0</v>
      </c>
      <c r="J56" s="9" t="n">
        <f aca="false">(I56+'Model Parameters'!$D$11)/('Model Parameters'!$D$9+'Model Parameters'!$D$11*'Model Parameters'!$D$10)</f>
        <v>4.40862680092405E-006</v>
      </c>
      <c r="K56" s="12" t="n">
        <f aca="false">B56*LN(J56)</f>
        <v>-12.3319473000057</v>
      </c>
    </row>
    <row r="57" customFormat="false" ht="15" hidden="false" customHeight="true" outlineLevel="0" collapsed="false">
      <c r="A57" s="6" t="s">
        <v>306</v>
      </c>
      <c r="B57" s="6" t="n">
        <v>1</v>
      </c>
      <c r="C57" s="6" t="n">
        <v>270</v>
      </c>
      <c r="D57" s="9" t="n">
        <f aca="false">(C57+'Model Parameters'!$B$11)/('Model Parameters'!$B$9+'Model Parameters'!$B$11*'Model Parameters'!$B$10)</f>
        <v>0.000230539607300024</v>
      </c>
      <c r="E57" s="12" t="n">
        <f aca="false">B57*LN(D57)</f>
        <v>-8.37508787818479</v>
      </c>
      <c r="F57" s="6" t="n">
        <v>0</v>
      </c>
      <c r="G57" s="9" t="n">
        <f aca="false">(F57+'Model Parameters'!$C$11)/('Model Parameters'!$C$9+'Model Parameters'!$C$11*'Model Parameters'!$C$10)</f>
        <v>1.12823648739365E-006</v>
      </c>
      <c r="H57" s="12" t="n">
        <f aca="false">B57*LN(G57)</f>
        <v>-13.6948547749176</v>
      </c>
      <c r="I57" s="6" t="n">
        <v>0</v>
      </c>
      <c r="J57" s="9" t="n">
        <f aca="false">(I57+'Model Parameters'!$D$11)/('Model Parameters'!$D$9+'Model Parameters'!$D$11*'Model Parameters'!$D$10)</f>
        <v>4.40862680092405E-006</v>
      </c>
      <c r="K57" s="12" t="n">
        <f aca="false">B57*LN(J57)</f>
        <v>-12.3319473000057</v>
      </c>
    </row>
    <row r="58" customFormat="false" ht="15" hidden="false" customHeight="true" outlineLevel="0" collapsed="false">
      <c r="A58" s="6" t="s">
        <v>307</v>
      </c>
      <c r="B58" s="6" t="n">
        <v>1</v>
      </c>
      <c r="C58" s="6" t="n">
        <v>270</v>
      </c>
      <c r="D58" s="9" t="n">
        <f aca="false">(C58+'Model Parameters'!$B$11)/('Model Parameters'!$B$9+'Model Parameters'!$B$11*'Model Parameters'!$B$10)</f>
        <v>0.000230539607300024</v>
      </c>
      <c r="E58" s="12" t="n">
        <f aca="false">B58*LN(D58)</f>
        <v>-8.37508787818479</v>
      </c>
      <c r="F58" s="6" t="n">
        <v>0</v>
      </c>
      <c r="G58" s="9" t="n">
        <f aca="false">(F58+'Model Parameters'!$C$11)/('Model Parameters'!$C$9+'Model Parameters'!$C$11*'Model Parameters'!$C$10)</f>
        <v>1.12823648739365E-006</v>
      </c>
      <c r="H58" s="12" t="n">
        <f aca="false">B58*LN(G58)</f>
        <v>-13.6948547749176</v>
      </c>
      <c r="I58" s="6" t="n">
        <v>0</v>
      </c>
      <c r="J58" s="9" t="n">
        <f aca="false">(I58+'Model Parameters'!$D$11)/('Model Parameters'!$D$9+'Model Parameters'!$D$11*'Model Parameters'!$D$10)</f>
        <v>4.40862680092405E-006</v>
      </c>
      <c r="K58" s="12" t="n">
        <f aca="false">B58*LN(J58)</f>
        <v>-12.3319473000057</v>
      </c>
    </row>
    <row r="59" customFormat="false" ht="15" hidden="false" customHeight="true" outlineLevel="0" collapsed="false">
      <c r="A59" s="6" t="s">
        <v>308</v>
      </c>
      <c r="B59" s="6" t="n">
        <v>1</v>
      </c>
      <c r="C59" s="6" t="n">
        <v>1889</v>
      </c>
      <c r="D59" s="9" t="n">
        <f aca="false">(C59+'Model Parameters'!$B$11)/('Model Parameters'!$B$9+'Model Parameters'!$B$11*'Model Parameters'!$B$10)</f>
        <v>0.00160782235349463</v>
      </c>
      <c r="E59" s="12" t="n">
        <f aca="false">B59*LN(D59)</f>
        <v>-6.4328745910108</v>
      </c>
      <c r="F59" s="6" t="n">
        <v>1487</v>
      </c>
      <c r="G59" s="9" t="n">
        <f aca="false">(F59+'Model Parameters'!$C$11)/('Model Parameters'!$C$9+'Model Parameters'!$C$11*'Model Parameters'!$C$10)</f>
        <v>0.00167881589324175</v>
      </c>
      <c r="H59" s="12" t="n">
        <f aca="false">B59*LN(G59)</f>
        <v>-6.38966655952454</v>
      </c>
      <c r="I59" s="6" t="n">
        <v>3219</v>
      </c>
      <c r="J59" s="9" t="n">
        <f aca="false">(I59+'Model Parameters'!$D$11)/('Model Parameters'!$D$9+'Model Parameters'!$D$11*'Model Parameters'!$D$10)</f>
        <v>0.0141957782989754</v>
      </c>
      <c r="K59" s="12" t="n">
        <f aca="false">B59*LN(J59)</f>
        <v>-4.25481066146724</v>
      </c>
    </row>
    <row r="60" customFormat="false" ht="15" hidden="false" customHeight="true" outlineLevel="0" collapsed="false">
      <c r="A60" s="6" t="s">
        <v>309</v>
      </c>
      <c r="B60" s="6" t="n">
        <v>1</v>
      </c>
      <c r="C60" s="6" t="n">
        <v>18</v>
      </c>
      <c r="D60" s="9" t="n">
        <f aca="false">(C60+'Model Parameters'!$B$11)/('Model Parameters'!$B$9+'Model Parameters'!$B$11*'Model Parameters'!$B$10)</f>
        <v>1.61632935007397E-005</v>
      </c>
      <c r="E60" s="12" t="n">
        <f aca="false">B60*LN(D60)</f>
        <v>-11.0327677198981</v>
      </c>
      <c r="F60" s="6" t="n">
        <v>0</v>
      </c>
      <c r="G60" s="9" t="n">
        <f aca="false">(F60+'Model Parameters'!$C$11)/('Model Parameters'!$C$9+'Model Parameters'!$C$11*'Model Parameters'!$C$10)</f>
        <v>1.12823648739365E-006</v>
      </c>
      <c r="H60" s="12" t="n">
        <f aca="false">B60*LN(G60)</f>
        <v>-13.6948547749176</v>
      </c>
      <c r="I60" s="6" t="n">
        <v>0</v>
      </c>
      <c r="J60" s="9" t="n">
        <f aca="false">(I60+'Model Parameters'!$D$11)/('Model Parameters'!$D$9+'Model Parameters'!$D$11*'Model Parameters'!$D$10)</f>
        <v>4.40862680092405E-006</v>
      </c>
      <c r="K60" s="12" t="n">
        <f aca="false">B60*LN(J60)</f>
        <v>-12.3319473000057</v>
      </c>
    </row>
    <row r="61" customFormat="false" ht="15" hidden="false" customHeight="true" outlineLevel="0" collapsed="false">
      <c r="A61" s="6" t="s">
        <v>310</v>
      </c>
      <c r="B61" s="6" t="n">
        <v>1</v>
      </c>
      <c r="C61" s="6" t="n">
        <v>270</v>
      </c>
      <c r="D61" s="9" t="n">
        <f aca="false">(C61+'Model Parameters'!$B$11)/('Model Parameters'!$B$9+'Model Parameters'!$B$11*'Model Parameters'!$B$10)</f>
        <v>0.000230539607300024</v>
      </c>
      <c r="E61" s="12" t="n">
        <f aca="false">B61*LN(D61)</f>
        <v>-8.37508787818479</v>
      </c>
      <c r="F61" s="6" t="n">
        <v>0</v>
      </c>
      <c r="G61" s="9" t="n">
        <f aca="false">(F61+'Model Parameters'!$C$11)/('Model Parameters'!$C$9+'Model Parameters'!$C$11*'Model Parameters'!$C$10)</f>
        <v>1.12823648739365E-006</v>
      </c>
      <c r="H61" s="12" t="n">
        <f aca="false">B61*LN(G61)</f>
        <v>-13.6948547749176</v>
      </c>
      <c r="I61" s="6" t="n">
        <v>0</v>
      </c>
      <c r="J61" s="9" t="n">
        <f aca="false">(I61+'Model Parameters'!$D$11)/('Model Parameters'!$D$9+'Model Parameters'!$D$11*'Model Parameters'!$D$10)</f>
        <v>4.40862680092405E-006</v>
      </c>
      <c r="K61" s="12" t="n">
        <f aca="false">B61*LN(J61)</f>
        <v>-12.3319473000057</v>
      </c>
    </row>
    <row r="62" customFormat="false" ht="15" hidden="false" customHeight="true" outlineLevel="0" collapsed="false">
      <c r="A62" s="6" t="s">
        <v>311</v>
      </c>
      <c r="B62" s="6" t="n">
        <v>1</v>
      </c>
      <c r="C62" s="6" t="n">
        <v>270</v>
      </c>
      <c r="D62" s="9" t="n">
        <f aca="false">(C62+'Model Parameters'!$B$11)/('Model Parameters'!$B$9+'Model Parameters'!$B$11*'Model Parameters'!$B$10)</f>
        <v>0.000230539607300024</v>
      </c>
      <c r="E62" s="12" t="n">
        <f aca="false">B62*LN(D62)</f>
        <v>-8.37508787818479</v>
      </c>
      <c r="F62" s="6" t="n">
        <v>0</v>
      </c>
      <c r="G62" s="9" t="n">
        <f aca="false">(F62+'Model Parameters'!$C$11)/('Model Parameters'!$C$9+'Model Parameters'!$C$11*'Model Parameters'!$C$10)</f>
        <v>1.12823648739365E-006</v>
      </c>
      <c r="H62" s="12" t="n">
        <f aca="false">B62*LN(G62)</f>
        <v>-13.6948547749176</v>
      </c>
      <c r="I62" s="6" t="n">
        <v>0</v>
      </c>
      <c r="J62" s="9" t="n">
        <f aca="false">(I62+'Model Parameters'!$D$11)/('Model Parameters'!$D$9+'Model Parameters'!$D$11*'Model Parameters'!$D$10)</f>
        <v>4.40862680092405E-006</v>
      </c>
      <c r="K62" s="12" t="n">
        <f aca="false">B62*LN(J62)</f>
        <v>-12.3319473000057</v>
      </c>
    </row>
    <row r="63" customFormat="false" ht="15" hidden="false" customHeight="true" outlineLevel="0" collapsed="false">
      <c r="A63" s="6" t="s">
        <v>312</v>
      </c>
      <c r="B63" s="6" t="n">
        <v>1</v>
      </c>
      <c r="C63" s="6" t="n">
        <v>1348</v>
      </c>
      <c r="D63" s="9" t="n">
        <f aca="false">(C63+'Model Parameters'!$B$11)/('Model Parameters'!$B$9+'Model Parameters'!$B$11*'Model Parameters'!$B$10)</f>
        <v>0.00114759383855252</v>
      </c>
      <c r="E63" s="12" t="n">
        <f aca="false">B63*LN(D63)</f>
        <v>-6.77008784285674</v>
      </c>
      <c r="F63" s="6" t="n">
        <v>0</v>
      </c>
      <c r="G63" s="9" t="n">
        <f aca="false">(F63+'Model Parameters'!$C$11)/('Model Parameters'!$C$9+'Model Parameters'!$C$11*'Model Parameters'!$C$10)</f>
        <v>1.12823648739365E-006</v>
      </c>
      <c r="H63" s="12" t="n">
        <f aca="false">B63*LN(G63)</f>
        <v>-13.6948547749176</v>
      </c>
      <c r="I63" s="6" t="n">
        <v>0</v>
      </c>
      <c r="J63" s="9" t="n">
        <f aca="false">(I63+'Model Parameters'!$D$11)/('Model Parameters'!$D$9+'Model Parameters'!$D$11*'Model Parameters'!$D$10)</f>
        <v>4.40862680092405E-006</v>
      </c>
      <c r="K63" s="12" t="n">
        <f aca="false">B63*LN(J63)</f>
        <v>-12.3319473000057</v>
      </c>
    </row>
    <row r="64" customFormat="false" ht="15" hidden="false" customHeight="true" outlineLevel="0" collapsed="false">
      <c r="A64" s="6" t="s">
        <v>313</v>
      </c>
      <c r="B64" s="6" t="n">
        <v>1</v>
      </c>
      <c r="C64" s="6" t="n">
        <v>1339</v>
      </c>
      <c r="D64" s="9" t="n">
        <f aca="false">(C64+'Model Parameters'!$B$11)/('Model Parameters'!$B$9+'Model Parameters'!$B$11*'Model Parameters'!$B$10)</f>
        <v>0.00113993754163111</v>
      </c>
      <c r="E64" s="12" t="n">
        <f aca="false">B64*LN(D64)</f>
        <v>-6.77678180611953</v>
      </c>
      <c r="F64" s="6" t="n">
        <v>0</v>
      </c>
      <c r="G64" s="9" t="n">
        <f aca="false">(F64+'Model Parameters'!$C$11)/('Model Parameters'!$C$9+'Model Parameters'!$C$11*'Model Parameters'!$C$10)</f>
        <v>1.12823648739365E-006</v>
      </c>
      <c r="H64" s="12" t="n">
        <f aca="false">B64*LN(G64)</f>
        <v>-13.6948547749176</v>
      </c>
      <c r="I64" s="6" t="n">
        <v>0</v>
      </c>
      <c r="J64" s="9" t="n">
        <f aca="false">(I64+'Model Parameters'!$D$11)/('Model Parameters'!$D$9+'Model Parameters'!$D$11*'Model Parameters'!$D$10)</f>
        <v>4.40862680092405E-006</v>
      </c>
      <c r="K64" s="12" t="n">
        <f aca="false">B64*LN(J64)</f>
        <v>-12.3319473000057</v>
      </c>
    </row>
    <row r="65" customFormat="false" ht="15" hidden="false" customHeight="true" outlineLevel="0" collapsed="false">
      <c r="A65" s="6" t="s">
        <v>314</v>
      </c>
      <c r="B65" s="6" t="n">
        <v>1</v>
      </c>
      <c r="C65" s="6" t="n">
        <v>394</v>
      </c>
      <c r="D65" s="9" t="n">
        <f aca="false">(C65+'Model Parameters'!$B$11)/('Model Parameters'!$B$9+'Model Parameters'!$B$11*'Model Parameters'!$B$10)</f>
        <v>0.000336026364883799</v>
      </c>
      <c r="E65" s="12" t="n">
        <f aca="false">B65*LN(D65)</f>
        <v>-7.99832093416337</v>
      </c>
      <c r="F65" s="6" t="n">
        <v>0</v>
      </c>
      <c r="G65" s="9" t="n">
        <f aca="false">(F65+'Model Parameters'!$C$11)/('Model Parameters'!$C$9+'Model Parameters'!$C$11*'Model Parameters'!$C$10)</f>
        <v>1.12823648739365E-006</v>
      </c>
      <c r="H65" s="12" t="n">
        <f aca="false">B65*LN(G65)</f>
        <v>-13.6948547749176</v>
      </c>
      <c r="I65" s="6" t="n">
        <v>0</v>
      </c>
      <c r="J65" s="9" t="n">
        <f aca="false">(I65+'Model Parameters'!$D$11)/('Model Parameters'!$D$9+'Model Parameters'!$D$11*'Model Parameters'!$D$10)</f>
        <v>4.40862680092405E-006</v>
      </c>
      <c r="K65" s="12" t="n">
        <f aca="false">B65*LN(J65)</f>
        <v>-12.3319473000057</v>
      </c>
    </row>
    <row r="66" customFormat="false" ht="15" hidden="false" customHeight="true" outlineLevel="0" collapsed="false">
      <c r="A66" s="6" t="s">
        <v>315</v>
      </c>
      <c r="B66" s="6" t="n">
        <v>1</v>
      </c>
      <c r="C66" s="6" t="n">
        <v>18</v>
      </c>
      <c r="D66" s="9" t="n">
        <f aca="false">(C66+'Model Parameters'!$B$11)/('Model Parameters'!$B$9+'Model Parameters'!$B$11*'Model Parameters'!$B$10)</f>
        <v>1.61632935007397E-005</v>
      </c>
      <c r="E66" s="12" t="n">
        <f aca="false">B66*LN(D66)</f>
        <v>-11.0327677198981</v>
      </c>
      <c r="F66" s="6" t="n">
        <v>0</v>
      </c>
      <c r="G66" s="9" t="n">
        <f aca="false">(F66+'Model Parameters'!$C$11)/('Model Parameters'!$C$9+'Model Parameters'!$C$11*'Model Parameters'!$C$10)</f>
        <v>1.12823648739365E-006</v>
      </c>
      <c r="H66" s="12" t="n">
        <f aca="false">B66*LN(G66)</f>
        <v>-13.6948547749176</v>
      </c>
      <c r="I66" s="6" t="n">
        <v>0</v>
      </c>
      <c r="J66" s="9" t="n">
        <f aca="false">(I66+'Model Parameters'!$D$11)/('Model Parameters'!$D$9+'Model Parameters'!$D$11*'Model Parameters'!$D$10)</f>
        <v>4.40862680092405E-006</v>
      </c>
      <c r="K66" s="12" t="n">
        <f aca="false">B66*LN(J66)</f>
        <v>-12.3319473000057</v>
      </c>
    </row>
    <row r="67" customFormat="false" ht="15" hidden="false" customHeight="true" outlineLevel="0" collapsed="false">
      <c r="A67" s="6" t="s">
        <v>316</v>
      </c>
      <c r="B67" s="6" t="n">
        <v>1</v>
      </c>
      <c r="C67" s="6" t="n">
        <v>18</v>
      </c>
      <c r="D67" s="9" t="n">
        <f aca="false">(C67+'Model Parameters'!$B$11)/('Model Parameters'!$B$9+'Model Parameters'!$B$11*'Model Parameters'!$B$10)</f>
        <v>1.61632935007397E-005</v>
      </c>
      <c r="E67" s="12" t="n">
        <f aca="false">B67*LN(D67)</f>
        <v>-11.0327677198981</v>
      </c>
      <c r="F67" s="6" t="n">
        <v>0</v>
      </c>
      <c r="G67" s="9" t="n">
        <f aca="false">(F67+'Model Parameters'!$C$11)/('Model Parameters'!$C$9+'Model Parameters'!$C$11*'Model Parameters'!$C$10)</f>
        <v>1.12823648739365E-006</v>
      </c>
      <c r="H67" s="12" t="n">
        <f aca="false">B67*LN(G67)</f>
        <v>-13.6948547749176</v>
      </c>
      <c r="I67" s="6" t="n">
        <v>0</v>
      </c>
      <c r="J67" s="9" t="n">
        <f aca="false">(I67+'Model Parameters'!$D$11)/('Model Parameters'!$D$9+'Model Parameters'!$D$11*'Model Parameters'!$D$10)</f>
        <v>4.40862680092405E-006</v>
      </c>
      <c r="K67" s="12" t="n">
        <f aca="false">B67*LN(J67)</f>
        <v>-12.3319473000057</v>
      </c>
    </row>
    <row r="68" customFormat="false" ht="15" hidden="false" customHeight="true" outlineLevel="0" collapsed="false">
      <c r="A68" s="6" t="s">
        <v>317</v>
      </c>
      <c r="B68" s="6" t="n">
        <v>1</v>
      </c>
      <c r="C68" s="6" t="n">
        <v>18</v>
      </c>
      <c r="D68" s="9" t="n">
        <f aca="false">(C68+'Model Parameters'!$B$11)/('Model Parameters'!$B$9+'Model Parameters'!$B$11*'Model Parameters'!$B$10)</f>
        <v>1.61632935007397E-005</v>
      </c>
      <c r="E68" s="12" t="n">
        <f aca="false">B68*LN(D68)</f>
        <v>-11.0327677198981</v>
      </c>
      <c r="F68" s="6" t="n">
        <v>0</v>
      </c>
      <c r="G68" s="9" t="n">
        <f aca="false">(F68+'Model Parameters'!$C$11)/('Model Parameters'!$C$9+'Model Parameters'!$C$11*'Model Parameters'!$C$10)</f>
        <v>1.12823648739365E-006</v>
      </c>
      <c r="H68" s="12" t="n">
        <f aca="false">B68*LN(G68)</f>
        <v>-13.6948547749176</v>
      </c>
      <c r="I68" s="6" t="n">
        <v>0</v>
      </c>
      <c r="J68" s="9" t="n">
        <f aca="false">(I68+'Model Parameters'!$D$11)/('Model Parameters'!$D$9+'Model Parameters'!$D$11*'Model Parameters'!$D$10)</f>
        <v>4.40862680092405E-006</v>
      </c>
      <c r="K68" s="12" t="n">
        <f aca="false">B68*LN(J68)</f>
        <v>-12.3319473000057</v>
      </c>
    </row>
    <row r="69" customFormat="false" ht="15" hidden="false" customHeight="true" outlineLevel="0" collapsed="false">
      <c r="A69" s="6" t="s">
        <v>318</v>
      </c>
      <c r="B69" s="6" t="n">
        <v>1</v>
      </c>
      <c r="C69" s="6" t="n">
        <v>859</v>
      </c>
      <c r="D69" s="9" t="n">
        <f aca="false">(C69+'Model Parameters'!$B$11)/('Model Parameters'!$B$9+'Model Parameters'!$B$11*'Model Parameters'!$B$10)</f>
        <v>0.000731601705822954</v>
      </c>
      <c r="E69" s="12" t="n">
        <f aca="false">B69*LN(D69)</f>
        <v>-7.22027430981694</v>
      </c>
      <c r="F69" s="6" t="n">
        <v>0</v>
      </c>
      <c r="G69" s="9" t="n">
        <f aca="false">(F69+'Model Parameters'!$C$11)/('Model Parameters'!$C$9+'Model Parameters'!$C$11*'Model Parameters'!$C$10)</f>
        <v>1.12823648739365E-006</v>
      </c>
      <c r="H69" s="12" t="n">
        <f aca="false">B69*LN(G69)</f>
        <v>-13.6948547749176</v>
      </c>
      <c r="I69" s="6" t="n">
        <v>0</v>
      </c>
      <c r="J69" s="9" t="n">
        <f aca="false">(I69+'Model Parameters'!$D$11)/('Model Parameters'!$D$9+'Model Parameters'!$D$11*'Model Parameters'!$D$10)</f>
        <v>4.40862680092405E-006</v>
      </c>
      <c r="K69" s="12" t="n">
        <f aca="false">B69*LN(J69)</f>
        <v>-12.3319473000057</v>
      </c>
    </row>
    <row r="70" customFormat="false" ht="15" hidden="false" customHeight="true" outlineLevel="0" collapsed="false">
      <c r="A70" s="6" t="s">
        <v>319</v>
      </c>
      <c r="B70" s="6" t="n">
        <v>1</v>
      </c>
      <c r="C70" s="6" t="n">
        <v>859</v>
      </c>
      <c r="D70" s="9" t="n">
        <f aca="false">(C70+'Model Parameters'!$B$11)/('Model Parameters'!$B$9+'Model Parameters'!$B$11*'Model Parameters'!$B$10)</f>
        <v>0.000731601705822954</v>
      </c>
      <c r="E70" s="12" t="n">
        <f aca="false">B70*LN(D70)</f>
        <v>-7.22027430981694</v>
      </c>
      <c r="F70" s="6" t="n">
        <v>0</v>
      </c>
      <c r="G70" s="9" t="n">
        <f aca="false">(F70+'Model Parameters'!$C$11)/('Model Parameters'!$C$9+'Model Parameters'!$C$11*'Model Parameters'!$C$10)</f>
        <v>1.12823648739365E-006</v>
      </c>
      <c r="H70" s="12" t="n">
        <f aca="false">B70*LN(G70)</f>
        <v>-13.6948547749176</v>
      </c>
      <c r="I70" s="6" t="n">
        <v>0</v>
      </c>
      <c r="J70" s="9" t="n">
        <f aca="false">(I70+'Model Parameters'!$D$11)/('Model Parameters'!$D$9+'Model Parameters'!$D$11*'Model Parameters'!$D$10)</f>
        <v>4.40862680092405E-006</v>
      </c>
      <c r="K70" s="12" t="n">
        <f aca="false">B70*LN(J70)</f>
        <v>-12.3319473000057</v>
      </c>
    </row>
    <row r="71" customFormat="false" ht="15" hidden="false" customHeight="true" outlineLevel="0" collapsed="false">
      <c r="A71" s="6" t="s">
        <v>136</v>
      </c>
      <c r="B71" s="6" t="n">
        <v>1</v>
      </c>
      <c r="C71" s="6" t="n">
        <v>1387</v>
      </c>
      <c r="D71" s="9" t="n">
        <f aca="false">(C71+'Model Parameters'!$B$11)/('Model Parameters'!$B$9+'Model Parameters'!$B$11*'Model Parameters'!$B$10)</f>
        <v>0.00118077112521193</v>
      </c>
      <c r="E71" s="12" t="n">
        <f aca="false">B71*LN(D71)</f>
        <v>-6.74158755799774</v>
      </c>
      <c r="F71" s="6" t="n">
        <v>0</v>
      </c>
      <c r="G71" s="9" t="n">
        <f aca="false">(F71+'Model Parameters'!$C$11)/('Model Parameters'!$C$9+'Model Parameters'!$C$11*'Model Parameters'!$C$10)</f>
        <v>1.12823648739365E-006</v>
      </c>
      <c r="H71" s="12" t="n">
        <f aca="false">B71*LN(G71)</f>
        <v>-13.6948547749176</v>
      </c>
      <c r="I71" s="6" t="n">
        <v>0</v>
      </c>
      <c r="J71" s="9" t="n">
        <f aca="false">(I71+'Model Parameters'!$D$11)/('Model Parameters'!$D$9+'Model Parameters'!$D$11*'Model Parameters'!$D$10)</f>
        <v>4.40862680092405E-006</v>
      </c>
      <c r="K71" s="12" t="n">
        <f aca="false">B71*LN(J71)</f>
        <v>-12.3319473000057</v>
      </c>
    </row>
    <row r="72" customFormat="false" ht="15" hidden="false" customHeight="true" outlineLevel="0" collapsed="false">
      <c r="A72" s="6" t="s">
        <v>320</v>
      </c>
      <c r="B72" s="6" t="n">
        <v>1</v>
      </c>
      <c r="C72" s="6" t="n">
        <v>18</v>
      </c>
      <c r="D72" s="9" t="n">
        <f aca="false">(C72+'Model Parameters'!$B$11)/('Model Parameters'!$B$9+'Model Parameters'!$B$11*'Model Parameters'!$B$10)</f>
        <v>1.61632935007397E-005</v>
      </c>
      <c r="E72" s="12" t="n">
        <f aca="false">B72*LN(D72)</f>
        <v>-11.0327677198981</v>
      </c>
      <c r="F72" s="6" t="n">
        <v>0</v>
      </c>
      <c r="G72" s="9" t="n">
        <f aca="false">(F72+'Model Parameters'!$C$11)/('Model Parameters'!$C$9+'Model Parameters'!$C$11*'Model Parameters'!$C$10)</f>
        <v>1.12823648739365E-006</v>
      </c>
      <c r="H72" s="12" t="n">
        <f aca="false">B72*LN(G72)</f>
        <v>-13.6948547749176</v>
      </c>
      <c r="I72" s="6" t="n">
        <v>0</v>
      </c>
      <c r="J72" s="9" t="n">
        <f aca="false">(I72+'Model Parameters'!$D$11)/('Model Parameters'!$D$9+'Model Parameters'!$D$11*'Model Parameters'!$D$10)</f>
        <v>4.40862680092405E-006</v>
      </c>
      <c r="K72" s="12" t="n">
        <f aca="false">B72*LN(J72)</f>
        <v>-12.3319473000057</v>
      </c>
    </row>
    <row r="73" customFormat="false" ht="15" hidden="false" customHeight="true" outlineLevel="0" collapsed="false">
      <c r="A73" s="6" t="s">
        <v>321</v>
      </c>
      <c r="B73" s="6" t="n">
        <v>1</v>
      </c>
      <c r="C73" s="6" t="n">
        <v>1559</v>
      </c>
      <c r="D73" s="9" t="n">
        <f aca="false">(C73+'Model Parameters'!$B$11)/('Model Parameters'!$B$9+'Model Parameters'!$B$11*'Model Parameters'!$B$10)</f>
        <v>0.00132709146637652</v>
      </c>
      <c r="E73" s="12" t="n">
        <f aca="false">B73*LN(D73)</f>
        <v>-6.62476559882091</v>
      </c>
      <c r="F73" s="6" t="n">
        <v>0</v>
      </c>
      <c r="G73" s="9" t="n">
        <f aca="false">(F73+'Model Parameters'!$C$11)/('Model Parameters'!$C$9+'Model Parameters'!$C$11*'Model Parameters'!$C$10)</f>
        <v>1.12823648739365E-006</v>
      </c>
      <c r="H73" s="12" t="n">
        <f aca="false">B73*LN(G73)</f>
        <v>-13.6948547749176</v>
      </c>
      <c r="I73" s="6" t="n">
        <v>0</v>
      </c>
      <c r="J73" s="9" t="n">
        <f aca="false">(I73+'Model Parameters'!$D$11)/('Model Parameters'!$D$9+'Model Parameters'!$D$11*'Model Parameters'!$D$10)</f>
        <v>4.40862680092405E-006</v>
      </c>
      <c r="K73" s="12" t="n">
        <f aca="false">B73*LN(J73)</f>
        <v>-12.3319473000057</v>
      </c>
    </row>
    <row r="74" customFormat="false" ht="15" hidden="false" customHeight="true" outlineLevel="0" collapsed="false">
      <c r="A74" s="6" t="s">
        <v>322</v>
      </c>
      <c r="B74" s="6" t="n">
        <v>1</v>
      </c>
      <c r="C74" s="6" t="n">
        <v>1559</v>
      </c>
      <c r="D74" s="9" t="n">
        <f aca="false">(C74+'Model Parameters'!$B$11)/('Model Parameters'!$B$9+'Model Parameters'!$B$11*'Model Parameters'!$B$10)</f>
        <v>0.00132709146637652</v>
      </c>
      <c r="E74" s="12" t="n">
        <f aca="false">B74*LN(D74)</f>
        <v>-6.62476559882091</v>
      </c>
      <c r="F74" s="6" t="n">
        <v>0</v>
      </c>
      <c r="G74" s="9" t="n">
        <f aca="false">(F74+'Model Parameters'!$C$11)/('Model Parameters'!$C$9+'Model Parameters'!$C$11*'Model Parameters'!$C$10)</f>
        <v>1.12823648739365E-006</v>
      </c>
      <c r="H74" s="12" t="n">
        <f aca="false">B74*LN(G74)</f>
        <v>-13.6948547749176</v>
      </c>
      <c r="I74" s="6" t="n">
        <v>0</v>
      </c>
      <c r="J74" s="9" t="n">
        <f aca="false">(I74+'Model Parameters'!$D$11)/('Model Parameters'!$D$9+'Model Parameters'!$D$11*'Model Parameters'!$D$10)</f>
        <v>4.40862680092405E-006</v>
      </c>
      <c r="K74" s="12" t="n">
        <f aca="false">B74*LN(J74)</f>
        <v>-12.3319473000057</v>
      </c>
    </row>
  </sheetData>
  <mergeCells count="4">
    <mergeCell ref="A1:K1"/>
    <mergeCell ref="A2:K2"/>
    <mergeCell ref="A3:K3"/>
    <mergeCell ref="A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9" activeCellId="0" sqref="H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0"/>
    <col collapsed="false" customWidth="true" hidden="false" outlineLevel="0" max="5" min="5" style="1" width="85.28"/>
  </cols>
  <sheetData>
    <row r="1" customFormat="false" ht="24" hidden="false" customHeight="true" outlineLevel="0" collapsed="false">
      <c r="A1" s="2" t="s">
        <v>323</v>
      </c>
      <c r="B1" s="2"/>
      <c r="C1" s="2"/>
      <c r="D1" s="2"/>
      <c r="E1" s="2"/>
    </row>
    <row r="2" customFormat="false" ht="15" hidden="false" customHeight="true" outlineLevel="0" collapsed="false">
      <c r="A2" s="3" t="s">
        <v>324</v>
      </c>
      <c r="B2" s="3"/>
      <c r="C2" s="3"/>
      <c r="D2" s="3"/>
      <c r="E2" s="3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5" t="s">
        <v>325</v>
      </c>
      <c r="B4" s="5" t="s">
        <v>27</v>
      </c>
      <c r="C4" s="5" t="s">
        <v>28</v>
      </c>
      <c r="D4" s="5" t="s">
        <v>29</v>
      </c>
      <c r="E4" s="5" t="s">
        <v>56</v>
      </c>
    </row>
    <row r="5" customFormat="false" ht="81.75" hidden="false" customHeight="true" outlineLevel="0" collapsed="false">
      <c r="A5" s="6" t="s">
        <v>10</v>
      </c>
      <c r="B5" s="6"/>
      <c r="C5" s="6"/>
      <c r="D5" s="6"/>
      <c r="E5" s="6" t="s">
        <v>11</v>
      </c>
    </row>
    <row r="6" customFormat="false" ht="15" hidden="false" customHeight="true" outlineLevel="0" collapsed="false">
      <c r="A6" s="6" t="s">
        <v>326</v>
      </c>
      <c r="B6" s="12" t="n">
        <f aca="false">'Model Parameters'!B7</f>
        <v>0.3333</v>
      </c>
      <c r="C6" s="12" t="n">
        <f aca="false">'Model Parameters'!C7</f>
        <v>0.3333</v>
      </c>
      <c r="D6" s="12" t="n">
        <f aca="false">'Model Parameters'!D7</f>
        <v>0.3334</v>
      </c>
      <c r="E6" s="6" t="s">
        <v>36</v>
      </c>
    </row>
    <row r="7" customFormat="false" ht="15" hidden="false" customHeight="true" outlineLevel="0" collapsed="false">
      <c r="A7" s="6" t="s">
        <v>37</v>
      </c>
      <c r="B7" s="12" t="n">
        <f aca="false">'Model Parameters'!B8</f>
        <v>-1.09871229366844</v>
      </c>
      <c r="C7" s="12" t="n">
        <f aca="false">'Model Parameters'!C8</f>
        <v>-1.09871229366844</v>
      </c>
      <c r="D7" s="12" t="n">
        <f aca="false">'Model Parameters'!D8</f>
        <v>-1.09841230866544</v>
      </c>
      <c r="E7" s="6" t="s">
        <v>38</v>
      </c>
    </row>
    <row r="8" customFormat="false" ht="15" hidden="false" customHeight="true" outlineLevel="0" collapsed="false">
      <c r="A8" s="6" t="s">
        <v>327</v>
      </c>
      <c r="B8" s="12" t="n">
        <f aca="false">SUM('Token Table'!E7:E74)</f>
        <v>-728.963004851643</v>
      </c>
      <c r="C8" s="12" t="n">
        <f aca="false">SUM('Token Table'!H7:H74)</f>
        <v>-1130.04481150686</v>
      </c>
      <c r="D8" s="12" t="n">
        <f aca="false">SUM('Token Table'!K7:K74)</f>
        <v>-1001.976445043</v>
      </c>
      <c r="E8" s="6" t="s">
        <v>328</v>
      </c>
    </row>
    <row r="9" customFormat="false" ht="15" hidden="false" customHeight="true" outlineLevel="0" collapsed="false">
      <c r="A9" s="6" t="s">
        <v>329</v>
      </c>
      <c r="B9" s="12" t="n">
        <f aca="false">B7+B8</f>
        <v>-730.061717145312</v>
      </c>
      <c r="C9" s="12" t="n">
        <f aca="false">C7+C8</f>
        <v>-1131.14352380053</v>
      </c>
      <c r="D9" s="12" t="n">
        <f aca="false">D7+D8</f>
        <v>-1003.07485735166</v>
      </c>
      <c r="E9" s="6" t="s">
        <v>330</v>
      </c>
    </row>
    <row r="10" customFormat="false" ht="15" hidden="false" customHeight="true" outlineLevel="0" collapsed="false">
      <c r="A10" s="6" t="s">
        <v>331</v>
      </c>
      <c r="B10" s="12" t="n">
        <f aca="false">SUM('Token Table'!B7:B74)</f>
        <v>141</v>
      </c>
      <c r="C10" s="12" t="n">
        <f aca="false">B10</f>
        <v>141</v>
      </c>
      <c r="D10" s="12" t="n">
        <f aca="false">B10</f>
        <v>141</v>
      </c>
      <c r="E10" s="6" t="s">
        <v>332</v>
      </c>
    </row>
    <row r="11" customFormat="false" ht="81.75" hidden="false" customHeight="true" outlineLevel="0" collapsed="false">
      <c r="A11" s="6" t="s">
        <v>333</v>
      </c>
      <c r="B11" s="12" t="n">
        <f aca="false">B9/B10</f>
        <v>-5.17774267478945</v>
      </c>
      <c r="C11" s="12" t="n">
        <f aca="false">C9/C10</f>
        <v>-8.02229449503921</v>
      </c>
      <c r="D11" s="12" t="n">
        <f aca="false">D9/D10</f>
        <v>-7.11400608050825</v>
      </c>
      <c r="E11" s="6" t="s">
        <v>334</v>
      </c>
    </row>
    <row r="12" customFormat="false" ht="15" hidden="false" customHeight="true" outlineLevel="0" collapsed="false">
      <c r="A12" s="6" t="s">
        <v>335</v>
      </c>
      <c r="B12" s="12" t="n">
        <f aca="false">MAX(B11:D11)</f>
        <v>-5.17774267478945</v>
      </c>
      <c r="C12" s="12" t="n">
        <f aca="false">B12</f>
        <v>-5.17774267478945</v>
      </c>
      <c r="D12" s="12" t="n">
        <f aca="false">B12</f>
        <v>-5.17774267478945</v>
      </c>
      <c r="E12" s="6" t="s">
        <v>336</v>
      </c>
    </row>
    <row r="13" customFormat="false" ht="15" hidden="false" customHeight="true" outlineLevel="0" collapsed="false">
      <c r="A13" s="6" t="s">
        <v>337</v>
      </c>
      <c r="B13" s="12" t="n">
        <f aca="false">EXP((B11-B12)/'Model Parameters'!B12)</f>
        <v>1</v>
      </c>
      <c r="C13" s="12" t="n">
        <f aca="false">EXP((C11-C12)/'Model Parameters'!C12)</f>
        <v>6.65478769466083E-007</v>
      </c>
      <c r="D13" s="12" t="n">
        <f aca="false">EXP((D11-D12)/'Model Parameters'!D12)</f>
        <v>6.24392153665962E-005</v>
      </c>
      <c r="E13" s="6" t="s">
        <v>338</v>
      </c>
    </row>
    <row r="14" customFormat="false" ht="81.75" hidden="false" customHeight="true" outlineLevel="0" collapsed="false">
      <c r="A14" s="6" t="s">
        <v>339</v>
      </c>
      <c r="B14" s="13" t="n">
        <f aca="false">B13/SUM($B$13:$D$13)</f>
        <v>0.999936899287815</v>
      </c>
      <c r="C14" s="13" t="n">
        <f aca="false">C13/SUM($B$13:$D$13)</f>
        <v>6.65436777281786E-007</v>
      </c>
      <c r="D14" s="13" t="n">
        <f aca="false">D13/SUM($B$13:$D$13)</f>
        <v>6.24352754076383E-005</v>
      </c>
      <c r="E14" s="6" t="s">
        <v>340</v>
      </c>
    </row>
    <row r="15" customFormat="false" ht="15" hidden="false" customHeight="true" outlineLevel="0" collapsed="false">
      <c r="A15" s="6"/>
      <c r="B15" s="6"/>
      <c r="C15" s="6"/>
      <c r="D15" s="6"/>
      <c r="E15" s="6"/>
    </row>
    <row r="16" customFormat="false" ht="15" hidden="false" customHeight="true" outlineLevel="0" collapsed="false">
      <c r="A16" s="6" t="s">
        <v>341</v>
      </c>
      <c r="B16" s="6" t="str">
        <f aca="false">INDEX($B$4:$D$4,1,MATCH(MAX(B9:D9),B9:D9,0))</f>
        <v>Fraud</v>
      </c>
      <c r="C16" s="6"/>
      <c r="D16" s="6"/>
      <c r="E16" s="6" t="s">
        <v>342</v>
      </c>
    </row>
    <row r="17" customFormat="false" ht="23.25" hidden="false" customHeight="true" outlineLevel="0" collapsed="false">
      <c r="A17" s="6" t="s">
        <v>343</v>
      </c>
      <c r="B17" s="6" t="str">
        <f aca="false">IF(OR(B16="Fraud",B16="Injection"),"MALICIOUS","SAFE")</f>
        <v>MALICIOUS</v>
      </c>
      <c r="C17" s="6"/>
      <c r="D17" s="6"/>
      <c r="E17" s="6" t="s">
        <v>344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2026-05-24T07:31:50Z</dcterms:created>
  <dc:creator>openpyxl</dc:creator>
  <dc:description/>
  <dc:language>en-PH</dc:language>
  <cp:lastModifiedBy/>
  <dcterms:modified xsi:type="dcterms:W3CDTF">2026-05-24T15:57:39Z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